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ssue Register" sheetId="2" state="visible" r:id="rId4"/>
    <sheet name="Golden Tests" sheetId="3" state="visible" r:id="rId5"/>
    <sheet name="Roadmap" sheetId="4" state="visible" r:id="rId6"/>
    <sheet name="Module Map" sheetId="5" state="visible" r:id="rId7"/>
  </sheets>
  <definedNames>
    <definedName function="false" hidden="true" localSheetId="2" name="_xlnm._FilterDatabase" vbProcedure="false">'Golden Tests'!$A$4:$F$19</definedName>
    <definedName function="false" hidden="true" localSheetId="1" name="_xlnm._FilterDatabase" vbProcedure="false">'Issue Register'!$A$3:$K$23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<sst xmlns="http://schemas.openxmlformats.org/spreadsheetml/2006/main" count="464" uniqueCount="312">
  <si>
    <t xml:space="preserve">SENA — Senior-Architect Advisory Tracker</t>
  </si>
  <si>
    <t xml:space="preserve">Companion workbook to SENA_Architecture_Advisory_Report.docx  ·  6 July 2026  ·  Confidential</t>
  </si>
  <si>
    <t xml:space="preserve">Purpose</t>
  </si>
  <si>
    <t xml:space="preserve">A working tracker for the SENA remediation. Filter, assign owners, and update status as the 12-week plan runs.</t>
  </si>
  <si>
    <t xml:space="preserve">Normative basis</t>
  </si>
  <si>
    <t xml:space="preserve">20260705_SENA_clean version.docx (math spec) + SENA.HK Algorithm Development Plan. The July 5 spec is normative.</t>
  </si>
  <si>
    <t xml:space="preserve">Evidence basis</t>
  </si>
  <si>
    <t xml:space="preserve">Audited against the deployed source repo (sena-hk-template, Next.js on Vercel). File:line references are authoritative.</t>
  </si>
  <si>
    <t xml:space="preserve">TABS</t>
  </si>
  <si>
    <t xml:space="preserve">1 · Issue Register</t>
  </si>
  <si>
    <t xml:space="preserve">20 severity-ranked issues with evidence, module, fix, effort, and 3-month flag. Autofilter + owner/status columns.</t>
  </si>
  <si>
    <t xml:space="preserve">2 · Golden Tests</t>
  </si>
  <si>
    <t xml:space="preserve">T1–T15 regression fixtures bound to the worked example. The CI gate for every deploy.</t>
  </si>
  <si>
    <t xml:space="preserve">3 · Roadmap</t>
  </si>
  <si>
    <t xml:space="preserve">12-week / 5-phase plan with goal, tasks, owner role, risks, exit criteria, and a week grid.</t>
  </si>
  <si>
    <t xml:space="preserve">4 · Module Map</t>
  </si>
  <si>
    <t xml:space="preserve">Target pipeline M1–M11 vs. what exists in the code today.</t>
  </si>
  <si>
    <t xml:space="preserve">SEVERITY LEGEND</t>
  </si>
  <si>
    <t xml:space="preserve">Critical</t>
  </si>
  <si>
    <t xml:space="preserve">Blocks mathematical fidelity or reliable modification. Must fix.</t>
  </si>
  <si>
    <t xml:space="preserve">High</t>
  </si>
  <si>
    <t xml:space="preserve">Materially misleads or blocks maintainability. Fix within 3 months.</t>
  </si>
  <si>
    <t xml:space="preserve">Medium</t>
  </si>
  <si>
    <t xml:space="preserve">Important correctness/clarity gap. Schedule within the window.</t>
  </si>
  <si>
    <t xml:space="preserve">Low</t>
  </si>
  <si>
    <t xml:space="preserve">Lower urgency; fast-follow acceptable.</t>
  </si>
  <si>
    <t xml:space="preserve">Effort key</t>
  </si>
  <si>
    <t xml:space="preserve">S ≤ ~2 days   ·   M ≤ ~1–2 weeks   ·   L ≥ ~2–4 weeks or cross-cutting</t>
  </si>
  <si>
    <t xml:space="preserve">Prioritized Issue Register — 20 issues</t>
  </si>
  <si>
    <t xml:space="preserve">ID</t>
  </si>
  <si>
    <t xml:space="preserve">Issue</t>
  </si>
  <si>
    <t xml:space="preserve">Severity</t>
  </si>
  <si>
    <t xml:space="preserve">Evidence / source (file:line)</t>
  </si>
  <si>
    <t xml:space="preserve">Why it matters</t>
  </si>
  <si>
    <t xml:space="preserve">Affected module</t>
  </si>
  <si>
    <t xml:space="preserve">Recommended fix</t>
  </si>
  <si>
    <t xml:space="preserve">Effort</t>
  </si>
  <si>
    <t xml:space="preserve">≤3 mo</t>
  </si>
  <si>
    <t xml:space="preserve">Owner</t>
  </si>
  <si>
    <t xml:space="preserve">Status</t>
  </si>
  <si>
    <t xml:space="preserve">S-01</t>
  </si>
  <si>
    <t xml:space="preserve">A_fusion assembled but never used for analytics</t>
  </si>
  <si>
    <t xml:space="preserve">model.ts:608–629,:1027; degree(S):179; components(S):162; report.ts:176</t>
  </si>
  <si>
    <t xml:space="preserve">The headline object is decorative; nothing users see is fused.</t>
  </si>
  <si>
    <t xml:space="preserve">M4/M5</t>
  </si>
  <si>
    <t xml:space="preserve">Route all displayed quantities through A_fusion; delete/demote the S-only path.</t>
  </si>
  <si>
    <t xml:space="preserve">L</t>
  </si>
  <si>
    <t xml:space="preserve">Yes</t>
  </si>
  <si>
    <t xml:space="preserve">Open</t>
  </si>
  <si>
    <t xml:space="preserve">S-02</t>
  </si>
  <si>
    <t xml:space="preserve">Fusion view is an ENA-projection overlay, not a joint embedding</t>
  </si>
  <si>
    <t xml:space="preserve">layout.ts (source:'jena-js'; points/nodePositions)</t>
  </si>
  <si>
    <t xml:space="preserve">Person–code distance is not a modelled quantity (spec Example 1).</t>
  </si>
  <si>
    <t xml:space="preserve">M6</t>
  </si>
  <si>
    <t xml:space="preserve">EMBED(A_fusion) via a declared operator; overlay = exploratory only.</t>
  </si>
  <si>
    <t xml:space="preserve">S-03</t>
  </si>
  <si>
    <t xml:space="preserve">No graph-operator layer (Laplacian / eigen)</t>
  </si>
  <si>
    <t xml:space="preserve">repo-wide: 0 non-test files for Laplacian/eigen/commute/Schoenberg</t>
  </si>
  <si>
    <t xml:space="preserve">Corollary 1, Props 4–5 and half the golden tests are impossible.</t>
  </si>
  <si>
    <t xml:space="preserve">M5</t>
  </si>
  <si>
    <t xml:space="preserve">Build a typed operators module + eigensolver.</t>
  </si>
  <si>
    <t xml:space="preserve">S-04</t>
  </si>
  <si>
    <t xml:space="preserve">No metric-validity / stress reporting</t>
  </si>
  <si>
    <t xml:space="preserve">no Schoenberg/MDS/commute; 'strain' hits are 'constraints' substrings</t>
  </si>
  <si>
    <t xml:space="preserve">Cross-type distances shown with no exactness or stress.</t>
  </si>
  <si>
    <t xml:space="preserve">SCHOENBERG_MDS + COMMUTE_TIME_EMBED + stress/strain readout.</t>
  </si>
  <si>
    <t xml:space="preserve">M</t>
  </si>
  <si>
    <t xml:space="preserve">S-05</t>
  </si>
  <si>
    <t xml:space="preserve">No golden-test harness for the worked example</t>
  </si>
  <si>
    <t xml:space="preserve">package.json has no math/golden script; tests are route/ops only</t>
  </si>
  <si>
    <t xml:space="preserve">Math can regress silently; refactors are unverifiable.</t>
  </si>
  <si>
    <t xml:space="preserve">M0</t>
  </si>
  <si>
    <t xml:space="preserve">Encode the worked-example fixture; T1–T15 in CI.</t>
  </si>
  <si>
    <t xml:space="preserve">S-06</t>
  </si>
  <si>
    <t xml:space="preserve">Silent symmetrization of directed social data</t>
  </si>
  <si>
    <t xml:space="preserve">report.ts:133,:187; symmetric bridge model.ts:618–619</t>
  </si>
  <si>
    <t xml:space="preserve">Direction dropped w/o disclosure; A_fusion^dir impossible.</t>
  </si>
  <si>
    <t xml:space="preserve">M1/M2/M5</t>
  </si>
  <si>
    <t xml:space="preserve">Preserve R directed; badge symmetrization; add directed assembly + operators.</t>
  </si>
  <si>
    <t xml:space="preserve">S-07</t>
  </si>
  <si>
    <t xml:space="preserve">Normalization lacks admissibility checks &amp; Frobenius</t>
  </si>
  <si>
    <t xml:space="preserve">model.ts:65–73 (max/log-max/none only)</t>
  </si>
  <si>
    <t xml:space="preserve">No axioms enforced; α/β/γ uninterpretable vs the rule.</t>
  </si>
  <si>
    <t xml:space="preserve">M3</t>
  </si>
  <si>
    <t xml:space="preserve">ADMISSIBLE_NORMALIZE with axiom asserts + provenance; add Frobenius.</t>
  </si>
  <si>
    <t xml:space="preserve">S-08</t>
  </si>
  <si>
    <t xml:space="preserve">Isolated nodes judged on S block, not A_fusion</t>
  </si>
  <si>
    <t xml:space="preserve">components(S) model.ts:162; socialComponent:473</t>
  </si>
  <si>
    <t xml:space="preserve">P3-type nodes mis-marked isolated; no I0 registry.</t>
  </si>
  <si>
    <t xml:space="preserve">Compute I0 on A_fusion; retain &amp; report; V+/zero-inverse/eps conventions.</t>
  </si>
  <si>
    <t xml:space="preserve">S-09</t>
  </si>
  <si>
    <t xml:space="preserve">Attribution overstated; G='contribution', no G_hat</t>
  </si>
  <si>
    <t xml:space="preserve">CONTEXT.md; visual-grammar 'contribution arcs'; no Ghat in code</t>
  </si>
  <si>
    <t xml:space="preserve">Overstates person-level evidence (spec Example 4).</t>
  </si>
  <si>
    <t xml:space="preserve">M7</t>
  </si>
  <si>
    <t xml:space="preserve">Default 'association'; add G_hat; gate 'contribution' on X_ita.</t>
  </si>
  <si>
    <t xml:space="preserve">S-10</t>
  </si>
  <si>
    <t xml:space="preserve">No render-blocking model card</t>
  </si>
  <si>
    <t xml:space="preserve">0 modelCard files; provenance exists but is unenforced</t>
  </si>
  <si>
    <t xml:space="preserve">Unfaithful/undisclosed figures can render and be exported.</t>
  </si>
  <si>
    <t xml:space="preserve">M11</t>
  </si>
  <si>
    <t xml:space="preserve">Model-card generator + block_render_if_missing gate.</t>
  </si>
  <si>
    <t xml:space="preserve">S-11</t>
  </si>
  <si>
    <t xml:space="preserve">Validation null models are generic mean-shuffles</t>
  </si>
  <si>
    <t xml:space="preserve">inference.ts:183–195 (label shuffle + bootstrap of means)</t>
  </si>
  <si>
    <t xml:space="preserve">Not structure-preserving; group/temporal claims under-supported.</t>
  </si>
  <si>
    <t xml:space="preserve">M10</t>
  </si>
  <si>
    <t xml:space="preserve">Add degree-preserving rewiring, code-label &amp; stanza shuffles, bipartite null, sensitivity.</t>
  </si>
  <si>
    <t xml:space="preserve">S-12</t>
  </si>
  <si>
    <t xml:space="preserve">Degrees are social-only, not fused typed degrees</t>
  </si>
  <si>
    <t xml:space="preserve">degree(S) model.ts:179; socialDegree:470</t>
  </si>
  <si>
    <t xml:space="preserve">Node emphasis contradicts the fused model (T2).</t>
  </si>
  <si>
    <t xml:space="preserve">Compute typed degree from A_fusion.</t>
  </si>
  <si>
    <t xml:space="preserve">S</t>
  </si>
  <si>
    <t xml:space="preserve">S-13</t>
  </si>
  <si>
    <t xml:space="preserve">Typed centrality not four separated families</t>
  </si>
  <si>
    <t xml:space="preserve">sna.js betweenness on S block report.ts:176; bridge ranking:214</t>
  </si>
  <si>
    <t xml:space="preserve">Risk of mixed-type ranking; no scale disclosure.</t>
  </si>
  <si>
    <t xml:space="preserve">M8</t>
  </si>
  <si>
    <t xml:space="preserve">Compute four families; tag whole-graph; block mixed lists in UI.</t>
  </si>
  <si>
    <t xml:space="preserve">S-14</t>
  </si>
  <si>
    <t xml:space="preserve">Temporal uses per-time normalization only</t>
  </si>
  <si>
    <t xml:space="preserve">model.ts:754–764 normalizeTemporalWindows</t>
  </si>
  <si>
    <t xml:space="preserve">Hides magnitude change; no declared policy.</t>
  </si>
  <si>
    <t xml:space="preserve">M9</t>
  </si>
  <si>
    <t xml:space="preserve">Assemble A(t) under a declared policy; ΔA distances + significance.</t>
  </si>
  <si>
    <t xml:space="preserve">S-15</t>
  </si>
  <si>
    <t xml:space="preserve">Architecture inversion: ~90 ops files vs thin math core</t>
  </si>
  <si>
    <t xml:space="preserve">lib/sena/enterprise/* + ops-*; math in a handful of files</t>
  </si>
  <si>
    <t xml:space="preserve">Effort &amp; code gravity in the wrong tier; math is hard to modify.</t>
  </si>
  <si>
    <t xml:space="preserve">All</t>
  </si>
  <si>
    <t xml:space="preserve">Freeze enterprise growth; consolidate math into tested services.</t>
  </si>
  <si>
    <t xml:space="preserve">Partial</t>
  </si>
  <si>
    <t xml:space="preserve">S-16</t>
  </si>
  <si>
    <t xml:space="preserve">Math split across vendor bundles + UI-adjacent code</t>
  </si>
  <si>
    <t xml:space="preserve">jena-js, sna.js vendored; fusion in model.ts; interp in report.ts</t>
  </si>
  <si>
    <t xml:space="preserve">No single source of truth for 'what SENA computes'.</t>
  </si>
  <si>
    <t xml:space="preserve">Centralize analytics behind /api services; vendor libs = within-type only.</t>
  </si>
  <si>
    <t xml:space="preserve">S-17</t>
  </si>
  <si>
    <t xml:space="preserve">Person ID ambiguity</t>
  </si>
  <si>
    <t xml:space="preserve">layout.ts probes personId/person/unit/unitId/id</t>
  </si>
  <si>
    <t xml:space="preserve">Fragile joins; mis-placed nodes.</t>
  </si>
  <si>
    <t xml:space="preserve">M1</t>
  </si>
  <si>
    <t xml:space="preserve">Enforce one canonical, stable personId.</t>
  </si>
  <si>
    <t xml:space="preserve">S-18</t>
  </si>
  <si>
    <t xml:space="preserve">No codebook versioning / edge→source audit trail</t>
  </si>
  <si>
    <t xml:space="preserve">no codebookVersion on codes; no edge provenance to source records</t>
  </si>
  <si>
    <t xml:space="preserve">Mixed codebooks corrupt W/B; no traceability.</t>
  </si>
  <si>
    <t xml:space="preserve">Version codebooks; link every edge to source segments.</t>
  </si>
  <si>
    <t xml:space="preserve">S-19</t>
  </si>
  <si>
    <t xml:space="preserve">De-identification not enforced for discourse data</t>
  </si>
  <si>
    <t xml:space="preserve">.sena-enterprise file store; no PII redaction at ingest</t>
  </si>
  <si>
    <t xml:space="preserve">Student PII risk; discourse may involve minors.</t>
  </si>
  <si>
    <t xml:space="preserve">Security</t>
  </si>
  <si>
    <t xml:space="preserve">PII redaction + pseudonymous IDs by default; encrypt at rest; retention policy.</t>
  </si>
  <si>
    <t xml:space="preserve">S-20</t>
  </si>
  <si>
    <t xml:space="preserve">Eigen/commute compute has no scale plan</t>
  </si>
  <si>
    <t xml:space="preserve">operators absent, so no sparse/approx path yet</t>
  </si>
  <si>
    <t xml:space="preserve">Latency regression risk on real datasets.</t>
  </si>
  <si>
    <t xml:space="preserve">Perf</t>
  </si>
  <si>
    <t xml:space="preserve">Sparse + Nyström past a measured threshold; cache artifacts.</t>
  </si>
  <si>
    <t xml:space="preserve">Summary (live)</t>
  </si>
  <si>
    <t xml:space="preserve">Must-do ≤3mo</t>
  </si>
  <si>
    <t xml:space="preserve">Golden Regression Tests (worked example) — CI gate for every deploy</t>
  </si>
  <si>
    <t xml:space="preserve">Fixture: S=[[0,4,0],[4,0,1],[0,1,0]]  W=[[0,3,1],[3,0,2],[1,2,0]]  B=[[2,1,0],[0,2,1],[0,0,3]]  ·  norm=max  ·  α=β=γ=1</t>
  </si>
  <si>
    <t xml:space="preserve">Test</t>
  </si>
  <si>
    <t xml:space="preserve">Asserts (target numbers fixed by the spec)</t>
  </si>
  <si>
    <t xml:space="preserve">Module</t>
  </si>
  <si>
    <t xml:space="preserve">Phase</t>
  </si>
  <si>
    <t xml:space="preserve">CI gate</t>
  </si>
  <si>
    <t xml:space="preserve">T1  A_fusion</t>
  </si>
  <si>
    <t xml:space="preserve">Exact 6×6 fused matrix (fractions printed in the spec).</t>
  </si>
  <si>
    <t xml:space="preserve">M4</t>
  </si>
  <si>
    <t xml:space="preserve">Wk1–2</t>
  </si>
  <si>
    <t xml:space="preserve">Not built</t>
  </si>
  <si>
    <t xml:space="preserve">T2  Degrees</t>
  </si>
  <si>
    <t xml:space="preserve">d = (2, 2.25, 1.25, 2, 2.667, 2.333) computed from A_fusion.</t>
  </si>
  <si>
    <t xml:space="preserve">Wk3–5</t>
  </si>
  <si>
    <t xml:space="preserve">T3  Laplacian spectrum</t>
  </si>
  <si>
    <t xml:space="preserve">eig(L) = {0, 0.88, 1.88, 2.61, 3.31, 3.81}; PSD; exactly one zero.</t>
  </si>
  <si>
    <t xml:space="preserve">T4  Bridge keeps P3</t>
  </si>
  <si>
    <t xml:space="preserve">P3 social degree 1 but fused degree 1.25; P3 ∉ I0.</t>
  </si>
  <si>
    <t xml:space="preserve">T5  Unused code</t>
  </si>
  <si>
    <t xml:space="preserve">add c4: d(c4)=0; L still PSD; exactly two zero eigenvalues.</t>
  </si>
  <si>
    <t xml:space="preserve">T6  zero-inverse</t>
  </si>
  <si>
    <t xml:space="preserve">eig(L_sym) ⊆ [0, 2].</t>
  </si>
  <si>
    <t xml:space="preserve">T7  eps-convention</t>
  </si>
  <si>
    <t xml:space="preserve">row of I − D_eps⁻¹A at c4 → identity row as eps → 0⁺.</t>
  </si>
  <si>
    <t xml:space="preserve">T8  directed indefinite</t>
  </si>
  <si>
    <t xml:space="preserve">min eig sym(D_out − A_dir) = −0.218 &lt; 0 (detected &amp; flagged).</t>
  </si>
  <si>
    <t xml:space="preserve">T9  row-stochastic</t>
  </si>
  <si>
    <t xml:space="preserve">P = D_out⁻¹A row-stochastic on V+; max|eig(P)| ≤ 1.</t>
  </si>
  <si>
    <t xml:space="preserve">T10 Schoenberg/MDS</t>
  </si>
  <si>
    <t xml:space="preserve">min eig(K) = −1.637 ⇒ exact=false; rank-2 MDS max distortion 0.718; stress reported.</t>
  </si>
  <si>
    <t xml:space="preserve">Wk6–8</t>
  </si>
  <si>
    <t xml:space="preserve">T11 commute-time</t>
  </si>
  <si>
    <t xml:space="preserve">max | ‖Z_u−Z_v‖² − C(u,v) | &lt; 1e-9 on all 9 person–code pairs.</t>
  </si>
  <si>
    <t xml:space="preserve">T12 G slices</t>
  </si>
  <si>
    <t xml:space="preserve">G_i PSD; Σ_i G_i = Xᵀ diag(P) X; window-normalized Y ⇒ offdiag = W.</t>
  </si>
  <si>
    <t xml:space="preserve">Wk9–10</t>
  </si>
  <si>
    <t xml:space="preserve">T13 G_hat bounds</t>
  </si>
  <si>
    <t xml:space="preserve">G_hat ≤ max_t X_ta·X_tb; binary X ∈ [0,1]; zero-participation row → 0.</t>
  </si>
  <si>
    <t xml:space="preserve">T14 normalization axioms</t>
  </si>
  <si>
    <t xml:space="preserve">N(0)=0; dims preserved; nonneg; symmetry preserved; divisor &gt; 0.</t>
  </si>
  <si>
    <t xml:space="preserve">T15 scale invariance</t>
  </si>
  <si>
    <t xml:space="preserve">max/frob invariant to layer rescale; log rule flagged as variant.</t>
  </si>
  <si>
    <t xml:space="preserve">Green in CI</t>
  </si>
  <si>
    <t xml:space="preserve">Gate rule</t>
  </si>
  <si>
    <t xml:space="preserve">Fail-closed: any red golden test blocks release. Seeds fixed &amp; recorded so permutation/bootstrap p-values reproduce.</t>
  </si>
  <si>
    <t xml:space="preserve">12-Week Remediation Roadmap — 5 phases</t>
  </si>
  <si>
    <t xml:space="preserve">Weeks</t>
  </si>
  <si>
    <t xml:space="preserve">Goal</t>
  </si>
  <si>
    <t xml:space="preserve">Key tasks</t>
  </si>
  <si>
    <t xml:space="preserve">Owner role</t>
  </si>
  <si>
    <t xml:space="preserve">Risks</t>
  </si>
  <si>
    <t xml:space="preserve">Exit criteria</t>
  </si>
  <si>
    <t xml:space="preserve">P0 Foundation</t>
  </si>
  <si>
    <t xml:space="preserve">1–2</t>
  </si>
  <si>
    <t xml:space="preserve">Make the math testable &amp; consistently named.</t>
  </si>
  <si>
    <t xml:space="preserve">Golden-test harness (T1–T15 scaffold); worked-example fixture; typed data contract; finish A_SENA→A_fusion naming sweep; CI fail-closed.</t>
  </si>
  <si>
    <t xml:space="preserve">Senior/full-stack + math reviewer</t>
  </si>
  <si>
    <t xml:space="preserve">Team underestimates harness value and defers it.</t>
  </si>
  <si>
    <t xml:space="preserve">T1–T4 green or precisely ticketed; data-contract schema merged; CI blocks on golden tests.</t>
  </si>
  <si>
    <t xml:space="preserve">P1 Core engine</t>
  </si>
  <si>
    <t xml:space="preserve">3–5</t>
  </si>
  <si>
    <t xml:space="preserve">Faithful layers, normalization, fusion, operators, direction.</t>
  </si>
  <si>
    <t xml:space="preserve">M2 layer builders (directed variants); M3 admissible-normalization (+Frobenius, axiom asserts, provenance); M4 A_fusion/A_fusion^dir; M5 degrees/Laplacian/normalized operators w/ zero-degree conventions; isolated-node retention.</t>
  </si>
  <si>
    <t xml:space="preserve">Backend engineer + numerics reviewer</t>
  </si>
  <si>
    <t xml:space="preserve">Numerics correctness; reconciling golden numbers.</t>
  </si>
  <si>
    <t xml:space="preserve">T1–T9, T14–T15 green; all degrees/components from A_fusion; no silent symmetrization.</t>
  </si>
  <si>
    <t xml:space="preserve">P2 Embedding</t>
  </si>
  <si>
    <t xml:space="preserve">6–8</t>
  </si>
  <si>
    <t xml:space="preserve">Real joint geometry with honest distortion.</t>
  </si>
  <si>
    <t xml:space="preserve">M6 embedding: Laplacian eigenmaps, classical MDS + Schoenberg check, commute-time; stress/strain readout; replace ring-overlay analytical reading with EMBED(A_fusion).</t>
  </si>
  <si>
    <t xml:space="preserve">Numerics engineer + frontend</t>
  </si>
  <si>
    <t xml:space="preserve">Pseudoinverse/eigensolver cost; Schoenberg iff subtlety.</t>
  </si>
  <si>
    <t xml:space="preserve">T10–T11 green; fusion view runs off A_fusion; distances carry exact/stress metadata.</t>
  </si>
  <si>
    <t xml:space="preserve">P3 Attribution/typed</t>
  </si>
  <si>
    <t xml:space="preserve">9–10</t>
  </si>
  <si>
    <t xml:space="preserve">Correct attribution, typed centrality, temporal, model-card proto.</t>
  </si>
  <si>
    <t xml:space="preserve">M7 G/G_hat with wording gate; M8 four typed-centrality families; M9 temporal deltas under declared policy; first model-card generator (items 1–10).</t>
  </si>
  <si>
    <t xml:space="preserve">Backend + product/UX</t>
  </si>
  <si>
    <t xml:space="preserve">Wording rules skipped under time pressure.</t>
  </si>
  <si>
    <t xml:space="preserve">T12–T13 green; 'contribution' gated on X_ita; model card renders for one E2E view.</t>
  </si>
  <si>
    <t xml:space="preserve">P4 Validation/UX/harden</t>
  </si>
  <si>
    <t xml:space="preserve">11–12</t>
  </si>
  <si>
    <t xml:space="preserve">Enforce disclosure, validate claims, beta on real data.</t>
  </si>
  <si>
    <t xml:space="preserve">M10 structure-preserving null models + sensitivity; UI badges + isolated-node/direction toggles; model-card render-gate; docs; CSCL beta; perf pass (sparse L⁺).</t>
  </si>
  <si>
    <t xml:space="preserve">Full team + pilot researcher</t>
  </si>
  <si>
    <t xml:space="preserve">Schedule crunch: validation + UI + docs + beta collide.</t>
  </si>
  <si>
    <t xml:space="preserve">Model card blocks incomplete renders; p-values reproducible by seed; all 15 golden tests green; sign-off vs July 5 spec.</t>
  </si>
  <si>
    <t xml:space="preserve">Week grid (module activity)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</si>
  <si>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</si>
  <si>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</si>
  <si>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</si>
  <si>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</si>
  <si>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</si>
  <si>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</si>
  <si>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</si>
  <si>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</si>
  <si>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</si>
  <si>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</si>
  <si>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</si>
  <si>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</si>
  <si>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M0 Harness</t>
  </si>
  <si>
    <t xml:space="preserve">M2 Layers</t>
  </si>
  <si>
    <t xml:space="preserve">M3 Normalize</t>
  </si>
  <si>
    <t xml:space="preserve">M4 Fusion</t>
  </si>
  <si>
    <t xml:space="preserve">M5 Operators</t>
  </si>
  <si>
    <t xml:space="preserve">M6 Embedding</t>
  </si>
  <si>
    <t xml:space="preserve">M7 Attribution</t>
  </si>
  <si>
    <t xml:space="preserve">M8 Centrality</t>
  </si>
  <si>
    <t xml:space="preserve">M9 Temporal</t>
  </si>
  <si>
    <t xml:space="preserve">M10 Validation</t>
  </si>
  <si>
    <t xml:space="preserve">M11 Model card/UI</t>
  </si>
  <si>
    <t xml:space="preserve">Target Pipeline (M1–M11) vs. Current Code</t>
  </si>
  <si>
    <t xml:space="preserve">Target responsibility</t>
  </si>
  <si>
    <t xml:space="preserve">State today</t>
  </si>
  <si>
    <t xml:space="preserve">Assessment</t>
  </si>
  <si>
    <t xml:space="preserve">M1 Ingest</t>
  </si>
  <si>
    <t xml:space="preserve">events, windows, coding; directed R preserved</t>
  </si>
  <si>
    <t xml:space="preserve">import.ts / import-adapters.ts; direction collapsed on ingest</t>
  </si>
  <si>
    <t xml:space="preserve">M2 Layer builders</t>
  </si>
  <si>
    <t xml:space="preserve">R,X,Y → S,W,B (+directed)</t>
  </si>
  <si>
    <t xml:space="preserve">model.ts builds S,W,B,G; bridge hard-coded symmetric</t>
  </si>
  <si>
    <t xml:space="preserve">M3 Normalization</t>
  </si>
  <si>
    <t xml:space="preserve">admissible rules + axioms</t>
  </si>
  <si>
    <t xml:space="preserve">inline model.ts (max/log-max/none); no engine/asserts</t>
  </si>
  <si>
    <t xml:space="preserve">Weak</t>
  </si>
  <si>
    <t xml:space="preserve">M4 Fusion assembly</t>
  </si>
  <si>
    <t xml:space="preserve">A_fusion / A_fusion^dir / A_fusion(t)</t>
  </si>
  <si>
    <t xml:space="preserve">correct block build model.ts:608–629; consistent naming</t>
  </si>
  <si>
    <t xml:space="preserve">Good</t>
  </si>
  <si>
    <t xml:space="preserve">M5 Graph operators</t>
  </si>
  <si>
    <t xml:space="preserve">degrees, I0, L, L_sym, L_rw</t>
  </si>
  <si>
    <t xml:space="preserve">ABSENT — no Laplacian/degree-on-fusion/normalized ops</t>
  </si>
  <si>
    <t xml:space="preserve">Missing</t>
  </si>
  <si>
    <t xml:space="preserve">eigenmaps / MDS+Schoenberg / commute-time</t>
  </si>
  <si>
    <t xml:space="preserve">ABSENT as joint embedding; layout reads jena-js ENA projection</t>
  </si>
  <si>
    <t xml:space="preserve">G and G_hat with wording rules</t>
  </si>
  <si>
    <t xml:space="preserve">G present as 'contribution'; no G_hat; no slice identities</t>
  </si>
  <si>
    <t xml:space="preserve">M8 Typed centrality</t>
  </si>
  <si>
    <t xml:space="preserve">four separated families</t>
  </si>
  <si>
    <t xml:space="preserve">sna.js betweenness on S + bridge ranking</t>
  </si>
  <si>
    <t xml:space="preserve">A(t) deltas under declared policy</t>
  </si>
  <si>
    <t xml:space="preserve">temporal-runtime.ts; per-time normalization only</t>
  </si>
  <si>
    <t xml:space="preserve">null models, permutation, bootstrap</t>
  </si>
  <si>
    <t xml:space="preserve">inference.ts: seeded permutation+bootstrap+Holm; generic null</t>
  </si>
  <si>
    <t xml:space="preserve">Partial — strong base</t>
  </si>
  <si>
    <t xml:space="preserve">M11 Reporting/UI</t>
  </si>
  <si>
    <t xml:space="preserve">model card, badges, panels</t>
  </si>
  <si>
    <t xml:space="preserve">rich report.ts + workspace; no render-blocking model card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</si>
</sst>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C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8A33D"/>
        <bgColor rgb="FFFF8080"/>
      </patternFill>
    </fill>
    <fill>
      <patternFill patternType="solid">
        <fgColor rgb="FFF2D06B"/>
        <bgColor rgb="FFFFCC00"/>
      </patternFill>
    </fill>
    <fill>
      <patternFill patternType="solid">
        <fgColor rgb="FF9DC08B"/>
        <bgColor rgb="FFBFBFBF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DCE6F1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9E6"/>
      </patternFill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DC08B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8A33D"/>
          <bgColor rgb="FF000000"/>
        </patternFill>
      </fill>
    </dxf>
    <dxf>
      <fill>
        <patternFill patternType="solid">
          <fgColor rgb="FFF2D06B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2E7D32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9E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2D06B"/>
      <rgbColor rgb="FF2E75B6"/>
      <rgbColor rgb="FF33CCCC"/>
      <rgbColor rgb="FF99CC00"/>
      <rgbColor rgb="FFFFCC00"/>
      <rgbColor rgb="FFE8A33D"/>
      <rgbColor rgb="FFFF6600"/>
      <rgbColor rgb="FF595959"/>
      <rgbColor rgb="FF9DC08B"/>
      <rgbColor rgb="FF1F3A5F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5" t="s">
        <v>8</v>
      </c>
      <c r="B8" s="4"/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5" t="s">
        <v>17</v>
      </c>
      <c r="B14" s="4"/>
    </row>
    <row r="15" customFormat="false" ht="15" hidden="false" customHeight="false" outlineLevel="0" collapsed="false">
      <c r="A15" s="6" t="s">
        <v>18</v>
      </c>
      <c r="B15" s="4" t="s">
        <v>19</v>
      </c>
    </row>
    <row r="16" customFormat="false" ht="15" hidden="false" customHeight="false" outlineLevel="0" collapsed="false">
      <c r="A16" s="7" t="s">
        <v>20</v>
      </c>
      <c r="B16" s="4" t="s">
        <v>21</v>
      </c>
    </row>
    <row r="17" customFormat="false" ht="15" hidden="false" customHeight="false" outlineLevel="0" collapsed="false">
      <c r="A17" s="8" t="s">
        <v>22</v>
      </c>
      <c r="B17" s="4" t="s">
        <v>23</v>
      </c>
    </row>
    <row r="18" customFormat="false" ht="15" hidden="false" customHeight="false" outlineLevel="0" collapsed="false">
      <c r="A18" s="9" t="s">
        <v>24</v>
      </c>
      <c r="B18" s="4" t="s">
        <v>25</v>
      </c>
    </row>
    <row r="20" customFormat="false" ht="15" hidden="false" customHeight="false" outlineLevel="0" collapsed="false">
      <c r="A20" s="5" t="s">
        <v>26</v>
      </c>
      <c r="B20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9" min="8" style="0" width="8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0" t="s">
        <v>28</v>
      </c>
    </row>
    <row r="3" customFormat="false" ht="23.85" hidden="false" customHeight="false" outlineLevel="0" collapsed="false">
      <c r="A3" s="11" t="s">
        <v>29</v>
      </c>
      <c r="B3" s="11" t="s">
        <v>30</v>
      </c>
      <c r="C3" s="11" t="s">
        <v>31</v>
      </c>
      <c r="D3" s="11" t="s">
        <v>32</v>
      </c>
      <c r="E3" s="11" t="s">
        <v>33</v>
      </c>
      <c r="F3" s="11" t="s">
        <v>34</v>
      </c>
      <c r="G3" s="11" t="s">
        <v>35</v>
      </c>
      <c r="H3" s="11" t="s">
        <v>36</v>
      </c>
      <c r="I3" s="11" t="s">
        <v>37</v>
      </c>
      <c r="J3" s="11" t="s">
        <v>38</v>
      </c>
      <c r="K3" s="11" t="s">
        <v>39</v>
      </c>
    </row>
    <row r="4" customFormat="false" ht="23.85" hidden="false" customHeight="false" outlineLevel="0" collapsed="false">
      <c r="A4" s="12" t="s">
        <v>40</v>
      </c>
      <c r="B4" s="4" t="s">
        <v>41</v>
      </c>
      <c r="C4" s="13" t="s">
        <v>18</v>
      </c>
      <c r="D4" s="14" t="s">
        <v>42</v>
      </c>
      <c r="E4" s="4" t="s">
        <v>43</v>
      </c>
      <c r="F4" s="15" t="s">
        <v>44</v>
      </c>
      <c r="G4" s="4" t="s">
        <v>45</v>
      </c>
      <c r="H4" s="16" t="s">
        <v>46</v>
      </c>
      <c r="I4" s="17" t="s">
        <v>47</v>
      </c>
      <c r="J4" s="18"/>
      <c r="K4" s="15" t="s">
        <v>48</v>
      </c>
    </row>
    <row r="5" customFormat="false" ht="23.85" hidden="false" customHeight="false" outlineLevel="0" collapsed="false">
      <c r="A5" s="12" t="s">
        <v>49</v>
      </c>
      <c r="B5" s="4" t="s">
        <v>50</v>
      </c>
      <c r="C5" s="13" t="s">
        <v>18</v>
      </c>
      <c r="D5" s="14" t="s">
        <v>51</v>
      </c>
      <c r="E5" s="4" t="s">
        <v>52</v>
      </c>
      <c r="F5" s="15" t="s">
        <v>53</v>
      </c>
      <c r="G5" s="4" t="s">
        <v>54</v>
      </c>
      <c r="H5" s="16" t="s">
        <v>46</v>
      </c>
      <c r="I5" s="17" t="s">
        <v>47</v>
      </c>
      <c r="J5" s="18"/>
      <c r="K5" s="15" t="s">
        <v>48</v>
      </c>
    </row>
    <row r="6" customFormat="false" ht="23.85" hidden="false" customHeight="false" outlineLevel="0" collapsed="false">
      <c r="A6" s="12" t="s">
        <v>55</v>
      </c>
      <c r="B6" s="4" t="s">
        <v>56</v>
      </c>
      <c r="C6" s="13" t="s">
        <v>18</v>
      </c>
      <c r="D6" s="14" t="s">
        <v>57</v>
      </c>
      <c r="E6" s="4" t="s">
        <v>58</v>
      </c>
      <c r="F6" s="15" t="s">
        <v>59</v>
      </c>
      <c r="G6" s="4" t="s">
        <v>60</v>
      </c>
      <c r="H6" s="16" t="s">
        <v>46</v>
      </c>
      <c r="I6" s="17" t="s">
        <v>47</v>
      </c>
      <c r="J6" s="18"/>
      <c r="K6" s="15" t="s">
        <v>48</v>
      </c>
    </row>
    <row r="7" customFormat="false" ht="35.05" hidden="false" customHeight="false" outlineLevel="0" collapsed="false">
      <c r="A7" s="12" t="s">
        <v>61</v>
      </c>
      <c r="B7" s="4" t="s">
        <v>62</v>
      </c>
      <c r="C7" s="13" t="s">
        <v>18</v>
      </c>
      <c r="D7" s="14" t="s">
        <v>63</v>
      </c>
      <c r="E7" s="4" t="s">
        <v>64</v>
      </c>
      <c r="F7" s="15" t="s">
        <v>53</v>
      </c>
      <c r="G7" s="4" t="s">
        <v>65</v>
      </c>
      <c r="H7" s="16" t="s">
        <v>66</v>
      </c>
      <c r="I7" s="17" t="s">
        <v>47</v>
      </c>
      <c r="J7" s="18"/>
      <c r="K7" s="15" t="s">
        <v>48</v>
      </c>
    </row>
    <row r="8" customFormat="false" ht="23.85" hidden="false" customHeight="false" outlineLevel="0" collapsed="false">
      <c r="A8" s="12" t="s">
        <v>67</v>
      </c>
      <c r="B8" s="4" t="s">
        <v>68</v>
      </c>
      <c r="C8" s="13" t="s">
        <v>18</v>
      </c>
      <c r="D8" s="14" t="s">
        <v>69</v>
      </c>
      <c r="E8" s="4" t="s">
        <v>70</v>
      </c>
      <c r="F8" s="15" t="s">
        <v>71</v>
      </c>
      <c r="G8" s="4" t="s">
        <v>72</v>
      </c>
      <c r="H8" s="16" t="s">
        <v>66</v>
      </c>
      <c r="I8" s="17" t="s">
        <v>47</v>
      </c>
      <c r="J8" s="18"/>
      <c r="K8" s="15" t="s">
        <v>48</v>
      </c>
    </row>
    <row r="9" customFormat="false" ht="23.85" hidden="false" customHeight="false" outlineLevel="0" collapsed="false">
      <c r="A9" s="12" t="s">
        <v>73</v>
      </c>
      <c r="B9" s="4" t="s">
        <v>74</v>
      </c>
      <c r="C9" s="19" t="s">
        <v>20</v>
      </c>
      <c r="D9" s="14" t="s">
        <v>75</v>
      </c>
      <c r="E9" s="4" t="s">
        <v>76</v>
      </c>
      <c r="F9" s="15" t="s">
        <v>77</v>
      </c>
      <c r="G9" s="4" t="s">
        <v>78</v>
      </c>
      <c r="H9" s="16" t="s">
        <v>46</v>
      </c>
      <c r="I9" s="17" t="s">
        <v>47</v>
      </c>
      <c r="J9" s="18"/>
      <c r="K9" s="15" t="s">
        <v>48</v>
      </c>
    </row>
    <row r="10" customFormat="false" ht="23.85" hidden="false" customHeight="false" outlineLevel="0" collapsed="false">
      <c r="A10" s="12" t="s">
        <v>79</v>
      </c>
      <c r="B10" s="4" t="s">
        <v>80</v>
      </c>
      <c r="C10" s="19" t="s">
        <v>20</v>
      </c>
      <c r="D10" s="14" t="s">
        <v>81</v>
      </c>
      <c r="E10" s="4" t="s">
        <v>82</v>
      </c>
      <c r="F10" s="15" t="s">
        <v>83</v>
      </c>
      <c r="G10" s="4" t="s">
        <v>84</v>
      </c>
      <c r="H10" s="16" t="s">
        <v>66</v>
      </c>
      <c r="I10" s="17" t="s">
        <v>47</v>
      </c>
      <c r="J10" s="18"/>
      <c r="K10" s="15" t="s">
        <v>48</v>
      </c>
    </row>
    <row r="11" customFormat="false" ht="23.85" hidden="false" customHeight="false" outlineLevel="0" collapsed="false">
      <c r="A11" s="12" t="s">
        <v>85</v>
      </c>
      <c r="B11" s="4" t="s">
        <v>86</v>
      </c>
      <c r="C11" s="19" t="s">
        <v>20</v>
      </c>
      <c r="D11" s="14" t="s">
        <v>87</v>
      </c>
      <c r="E11" s="4" t="s">
        <v>88</v>
      </c>
      <c r="F11" s="15" t="s">
        <v>59</v>
      </c>
      <c r="G11" s="4" t="s">
        <v>89</v>
      </c>
      <c r="H11" s="16" t="s">
        <v>66</v>
      </c>
      <c r="I11" s="17" t="s">
        <v>47</v>
      </c>
      <c r="J11" s="18"/>
      <c r="K11" s="15" t="s">
        <v>48</v>
      </c>
    </row>
    <row r="12" customFormat="false" ht="23.85" hidden="false" customHeight="false" outlineLevel="0" collapsed="false">
      <c r="A12" s="12" t="s">
        <v>90</v>
      </c>
      <c r="B12" s="4" t="s">
        <v>91</v>
      </c>
      <c r="C12" s="19" t="s">
        <v>20</v>
      </c>
      <c r="D12" s="14" t="s">
        <v>92</v>
      </c>
      <c r="E12" s="4" t="s">
        <v>93</v>
      </c>
      <c r="F12" s="15" t="s">
        <v>94</v>
      </c>
      <c r="G12" s="4" t="s">
        <v>95</v>
      </c>
      <c r="H12" s="16" t="s">
        <v>66</v>
      </c>
      <c r="I12" s="17" t="s">
        <v>47</v>
      </c>
      <c r="J12" s="18"/>
      <c r="K12" s="15" t="s">
        <v>48</v>
      </c>
    </row>
    <row r="13" customFormat="false" ht="23.85" hidden="false" customHeight="false" outlineLevel="0" collapsed="false">
      <c r="A13" s="12" t="s">
        <v>96</v>
      </c>
      <c r="B13" s="4" t="s">
        <v>97</v>
      </c>
      <c r="C13" s="19" t="s">
        <v>20</v>
      </c>
      <c r="D13" s="14" t="s">
        <v>98</v>
      </c>
      <c r="E13" s="4" t="s">
        <v>99</v>
      </c>
      <c r="F13" s="15" t="s">
        <v>100</v>
      </c>
      <c r="G13" s="4" t="s">
        <v>101</v>
      </c>
      <c r="H13" s="16" t="s">
        <v>66</v>
      </c>
      <c r="I13" s="17" t="s">
        <v>47</v>
      </c>
      <c r="J13" s="18"/>
      <c r="K13" s="15" t="s">
        <v>48</v>
      </c>
    </row>
    <row r="14" customFormat="false" ht="35.05" hidden="false" customHeight="false" outlineLevel="0" collapsed="false">
      <c r="A14" s="12" t="s">
        <v>102</v>
      </c>
      <c r="B14" s="4" t="s">
        <v>103</v>
      </c>
      <c r="C14" s="19" t="s">
        <v>20</v>
      </c>
      <c r="D14" s="14" t="s">
        <v>104</v>
      </c>
      <c r="E14" s="4" t="s">
        <v>105</v>
      </c>
      <c r="F14" s="15" t="s">
        <v>106</v>
      </c>
      <c r="G14" s="4" t="s">
        <v>107</v>
      </c>
      <c r="H14" s="16" t="s">
        <v>66</v>
      </c>
      <c r="I14" s="17" t="s">
        <v>47</v>
      </c>
      <c r="J14" s="18"/>
      <c r="K14" s="15" t="s">
        <v>48</v>
      </c>
    </row>
    <row r="15" customFormat="false" ht="23.85" hidden="false" customHeight="false" outlineLevel="0" collapsed="false">
      <c r="A15" s="12" t="s">
        <v>108</v>
      </c>
      <c r="B15" s="4" t="s">
        <v>109</v>
      </c>
      <c r="C15" s="19" t="s">
        <v>20</v>
      </c>
      <c r="D15" s="14" t="s">
        <v>110</v>
      </c>
      <c r="E15" s="4" t="s">
        <v>111</v>
      </c>
      <c r="F15" s="15" t="s">
        <v>59</v>
      </c>
      <c r="G15" s="4" t="s">
        <v>112</v>
      </c>
      <c r="H15" s="16" t="s">
        <v>113</v>
      </c>
      <c r="I15" s="17" t="s">
        <v>47</v>
      </c>
      <c r="J15" s="18"/>
      <c r="K15" s="15" t="s">
        <v>48</v>
      </c>
    </row>
    <row r="16" customFormat="false" ht="23.85" hidden="false" customHeight="false" outlineLevel="0" collapsed="false">
      <c r="A16" s="12" t="s">
        <v>114</v>
      </c>
      <c r="B16" s="4" t="s">
        <v>115</v>
      </c>
      <c r="C16" s="20" t="s">
        <v>22</v>
      </c>
      <c r="D16" s="14" t="s">
        <v>116</v>
      </c>
      <c r="E16" s="4" t="s">
        <v>117</v>
      </c>
      <c r="F16" s="15" t="s">
        <v>118</v>
      </c>
      <c r="G16" s="4" t="s">
        <v>119</v>
      </c>
      <c r="H16" s="16" t="s">
        <v>66</v>
      </c>
      <c r="I16" s="17" t="s">
        <v>47</v>
      </c>
      <c r="J16" s="18"/>
      <c r="K16" s="15" t="s">
        <v>48</v>
      </c>
    </row>
    <row r="17" customFormat="false" ht="23.85" hidden="false" customHeight="false" outlineLevel="0" collapsed="false">
      <c r="A17" s="12" t="s">
        <v>120</v>
      </c>
      <c r="B17" s="4" t="s">
        <v>121</v>
      </c>
      <c r="C17" s="20" t="s">
        <v>22</v>
      </c>
      <c r="D17" s="14" t="s">
        <v>122</v>
      </c>
      <c r="E17" s="4" t="s">
        <v>123</v>
      </c>
      <c r="F17" s="15" t="s">
        <v>124</v>
      </c>
      <c r="G17" s="4" t="s">
        <v>125</v>
      </c>
      <c r="H17" s="16" t="s">
        <v>66</v>
      </c>
      <c r="I17" s="17" t="s">
        <v>47</v>
      </c>
      <c r="J17" s="18"/>
      <c r="K17" s="15" t="s">
        <v>48</v>
      </c>
    </row>
    <row r="18" customFormat="false" ht="23.85" hidden="false" customHeight="false" outlineLevel="0" collapsed="false">
      <c r="A18" s="12" t="s">
        <v>126</v>
      </c>
      <c r="B18" s="4" t="s">
        <v>127</v>
      </c>
      <c r="C18" s="19" t="s">
        <v>20</v>
      </c>
      <c r="D18" s="14" t="s">
        <v>128</v>
      </c>
      <c r="E18" s="4" t="s">
        <v>129</v>
      </c>
      <c r="F18" s="15" t="s">
        <v>130</v>
      </c>
      <c r="G18" s="4" t="s">
        <v>131</v>
      </c>
      <c r="H18" s="16" t="s">
        <v>46</v>
      </c>
      <c r="I18" s="21" t="s">
        <v>132</v>
      </c>
      <c r="J18" s="18"/>
      <c r="K18" s="15" t="s">
        <v>48</v>
      </c>
    </row>
    <row r="19" customFormat="false" ht="23.85" hidden="false" customHeight="false" outlineLevel="0" collapsed="false">
      <c r="A19" s="12" t="s">
        <v>133</v>
      </c>
      <c r="B19" s="4" t="s">
        <v>134</v>
      </c>
      <c r="C19" s="20" t="s">
        <v>22</v>
      </c>
      <c r="D19" s="14" t="s">
        <v>135</v>
      </c>
      <c r="E19" s="4" t="s">
        <v>136</v>
      </c>
      <c r="F19" s="15" t="s">
        <v>130</v>
      </c>
      <c r="G19" s="4" t="s">
        <v>137</v>
      </c>
      <c r="H19" s="16" t="s">
        <v>46</v>
      </c>
      <c r="I19" s="21" t="s">
        <v>132</v>
      </c>
      <c r="J19" s="18"/>
      <c r="K19" s="15" t="s">
        <v>48</v>
      </c>
    </row>
    <row r="20" customFormat="false" ht="22.35" hidden="false" customHeight="false" outlineLevel="0" collapsed="false">
      <c r="A20" s="12" t="s">
        <v>138</v>
      </c>
      <c r="B20" s="4" t="s">
        <v>139</v>
      </c>
      <c r="C20" s="20" t="s">
        <v>22</v>
      </c>
      <c r="D20" s="14" t="s">
        <v>140</v>
      </c>
      <c r="E20" s="4" t="s">
        <v>141</v>
      </c>
      <c r="F20" s="15" t="s">
        <v>142</v>
      </c>
      <c r="G20" s="4" t="s">
        <v>143</v>
      </c>
      <c r="H20" s="16" t="s">
        <v>113</v>
      </c>
      <c r="I20" s="17" t="s">
        <v>47</v>
      </c>
      <c r="J20" s="18"/>
      <c r="K20" s="15" t="s">
        <v>48</v>
      </c>
    </row>
    <row r="21" customFormat="false" ht="23.85" hidden="false" customHeight="false" outlineLevel="0" collapsed="false">
      <c r="A21" s="12" t="s">
        <v>144</v>
      </c>
      <c r="B21" s="4" t="s">
        <v>145</v>
      </c>
      <c r="C21" s="20" t="s">
        <v>22</v>
      </c>
      <c r="D21" s="14" t="s">
        <v>146</v>
      </c>
      <c r="E21" s="4" t="s">
        <v>147</v>
      </c>
      <c r="F21" s="15" t="s">
        <v>142</v>
      </c>
      <c r="G21" s="4" t="s">
        <v>148</v>
      </c>
      <c r="H21" s="16" t="s">
        <v>66</v>
      </c>
      <c r="I21" s="17" t="s">
        <v>47</v>
      </c>
      <c r="J21" s="18"/>
      <c r="K21" s="15" t="s">
        <v>48</v>
      </c>
    </row>
    <row r="22" customFormat="false" ht="23.85" hidden="false" customHeight="false" outlineLevel="0" collapsed="false">
      <c r="A22" s="12" t="s">
        <v>149</v>
      </c>
      <c r="B22" s="4" t="s">
        <v>150</v>
      </c>
      <c r="C22" s="19" t="s">
        <v>20</v>
      </c>
      <c r="D22" s="14" t="s">
        <v>151</v>
      </c>
      <c r="E22" s="4" t="s">
        <v>152</v>
      </c>
      <c r="F22" s="15" t="s">
        <v>153</v>
      </c>
      <c r="G22" s="4" t="s">
        <v>154</v>
      </c>
      <c r="H22" s="16" t="s">
        <v>66</v>
      </c>
      <c r="I22" s="17" t="s">
        <v>47</v>
      </c>
      <c r="J22" s="18"/>
      <c r="K22" s="15" t="s">
        <v>48</v>
      </c>
    </row>
    <row r="23" customFormat="false" ht="23.85" hidden="false" customHeight="false" outlineLevel="0" collapsed="false">
      <c r="A23" s="12" t="s">
        <v>155</v>
      </c>
      <c r="B23" s="4" t="s">
        <v>156</v>
      </c>
      <c r="C23" s="22" t="s">
        <v>24</v>
      </c>
      <c r="D23" s="14" t="s">
        <v>157</v>
      </c>
      <c r="E23" s="4" t="s">
        <v>158</v>
      </c>
      <c r="F23" s="15" t="s">
        <v>159</v>
      </c>
      <c r="G23" s="4" t="s">
        <v>160</v>
      </c>
      <c r="H23" s="16" t="s">
        <v>66</v>
      </c>
      <c r="I23" s="21" t="s">
        <v>132</v>
      </c>
      <c r="J23" s="18"/>
      <c r="K23" s="15" t="s">
        <v>48</v>
      </c>
    </row>
    <row r="25" customFormat="false" ht="23.85" hidden="false" customHeight="false" outlineLevel="0" collapsed="false">
      <c r="A25" s="5" t="s">
        <v>161</v>
      </c>
      <c r="D25" s="13" t="s">
        <v>18</v>
      </c>
      <c r="E25" s="23" t="n">
        <f aca="false">COUNTIF(C4:C23,"Critical")</f>
        <v>5</v>
      </c>
      <c r="F25" s="19" t="s">
        <v>20</v>
      </c>
      <c r="G25" s="23" t="n">
        <f aca="false">COUNTIF(C4:C23,"High")</f>
        <v>9</v>
      </c>
      <c r="I25" s="24" t="s">
        <v>162</v>
      </c>
      <c r="J25" s="23" t="n">
        <f aca="false">COUNTIF(I4:I23,"Yes")</f>
        <v>17</v>
      </c>
      <c r="K25" s="15" t="str">
        <f aca="false">COUNTA(A4:A23)&amp;" total"</f>
        <v>20 total</v>
      </c>
    </row>
    <row r="26" customFormat="false" ht="15" hidden="false" customHeight="false" outlineLevel="0" collapsed="false">
      <c r="D26" s="20" t="s">
        <v>22</v>
      </c>
      <c r="E26" s="23" t="n">
        <f aca="false">COUNTIF(C4:C23,"Medium")</f>
        <v>5</v>
      </c>
      <c r="F26" s="22" t="s">
        <v>24</v>
      </c>
      <c r="G26" s="23" t="n">
        <f aca="false">COUNTIF(C4:C23,"Low")</f>
        <v>1</v>
      </c>
    </row>
  </sheetData>
  <autoFilter ref="A3:K23"/>
  <dataValidations count="1">
    <dataValidation allowBlank="true" errorStyle="stop" operator="between" showDropDown="false" showErrorMessage="false" showInputMessage="false" sqref="K4:K23" type="list">
      <formula1>"Open,In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4"/>
    <col collapsed="false" customWidth="true" hidden="false" outlineLevel="0" max="5" min="3" style="0" width="1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0" t="s">
        <v>163</v>
      </c>
    </row>
    <row r="2" customFormat="false" ht="15" hidden="false" customHeight="false" outlineLevel="0" collapsed="false">
      <c r="A2" s="25" t="s">
        <v>164</v>
      </c>
    </row>
    <row r="4" customFormat="false" ht="15" hidden="false" customHeight="false" outlineLevel="0" collapsed="false">
      <c r="A4" s="11" t="s">
        <v>165</v>
      </c>
      <c r="B4" s="11" t="s">
        <v>166</v>
      </c>
      <c r="C4" s="11" t="s">
        <v>167</v>
      </c>
      <c r="D4" s="11" t="s">
        <v>168</v>
      </c>
      <c r="E4" s="11" t="s">
        <v>169</v>
      </c>
      <c r="F4" s="11" t="s">
        <v>39</v>
      </c>
    </row>
    <row r="5" customFormat="false" ht="15" hidden="false" customHeight="false" outlineLevel="0" collapsed="false">
      <c r="A5" s="26" t="s">
        <v>170</v>
      </c>
      <c r="B5" s="4" t="s">
        <v>171</v>
      </c>
      <c r="C5" s="15" t="s">
        <v>172</v>
      </c>
      <c r="D5" s="16" t="s">
        <v>173</v>
      </c>
      <c r="E5" s="27" t="s">
        <v>47</v>
      </c>
      <c r="F5" s="28" t="s">
        <v>174</v>
      </c>
    </row>
    <row r="6" customFormat="false" ht="15" hidden="false" customHeight="false" outlineLevel="0" collapsed="false">
      <c r="A6" s="26" t="s">
        <v>175</v>
      </c>
      <c r="B6" s="4" t="s">
        <v>176</v>
      </c>
      <c r="C6" s="15" t="s">
        <v>59</v>
      </c>
      <c r="D6" s="16" t="s">
        <v>177</v>
      </c>
      <c r="E6" s="27" t="s">
        <v>47</v>
      </c>
      <c r="F6" s="28" t="s">
        <v>174</v>
      </c>
    </row>
    <row r="7" customFormat="false" ht="15" hidden="false" customHeight="false" outlineLevel="0" collapsed="false">
      <c r="A7" s="26" t="s">
        <v>178</v>
      </c>
      <c r="B7" s="4" t="s">
        <v>179</v>
      </c>
      <c r="C7" s="15" t="s">
        <v>59</v>
      </c>
      <c r="D7" s="16" t="s">
        <v>177</v>
      </c>
      <c r="E7" s="27" t="s">
        <v>47</v>
      </c>
      <c r="F7" s="28" t="s">
        <v>174</v>
      </c>
    </row>
    <row r="8" customFormat="false" ht="15" hidden="false" customHeight="false" outlineLevel="0" collapsed="false">
      <c r="A8" s="26" t="s">
        <v>180</v>
      </c>
      <c r="B8" s="4" t="s">
        <v>181</v>
      </c>
      <c r="C8" s="15" t="s">
        <v>59</v>
      </c>
      <c r="D8" s="16" t="s">
        <v>177</v>
      </c>
      <c r="E8" s="27" t="s">
        <v>47</v>
      </c>
      <c r="F8" s="28" t="s">
        <v>174</v>
      </c>
    </row>
    <row r="9" customFormat="false" ht="15" hidden="false" customHeight="false" outlineLevel="0" collapsed="false">
      <c r="A9" s="26" t="s">
        <v>182</v>
      </c>
      <c r="B9" s="4" t="s">
        <v>183</v>
      </c>
      <c r="C9" s="15" t="s">
        <v>59</v>
      </c>
      <c r="D9" s="16" t="s">
        <v>177</v>
      </c>
      <c r="E9" s="27" t="s">
        <v>47</v>
      </c>
      <c r="F9" s="28" t="s">
        <v>174</v>
      </c>
    </row>
    <row r="10" customFormat="false" ht="15" hidden="false" customHeight="false" outlineLevel="0" collapsed="false">
      <c r="A10" s="26" t="s">
        <v>184</v>
      </c>
      <c r="B10" s="4" t="s">
        <v>185</v>
      </c>
      <c r="C10" s="15" t="s">
        <v>59</v>
      </c>
      <c r="D10" s="16" t="s">
        <v>177</v>
      </c>
      <c r="E10" s="27" t="s">
        <v>47</v>
      </c>
      <c r="F10" s="28" t="s">
        <v>174</v>
      </c>
    </row>
    <row r="11" customFormat="false" ht="15" hidden="false" customHeight="false" outlineLevel="0" collapsed="false">
      <c r="A11" s="26" t="s">
        <v>186</v>
      </c>
      <c r="B11" s="4" t="s">
        <v>187</v>
      </c>
      <c r="C11" s="15" t="s">
        <v>59</v>
      </c>
      <c r="D11" s="16" t="s">
        <v>177</v>
      </c>
      <c r="E11" s="27" t="s">
        <v>47</v>
      </c>
      <c r="F11" s="28" t="s">
        <v>174</v>
      </c>
    </row>
    <row r="12" customFormat="false" ht="15" hidden="false" customHeight="false" outlineLevel="0" collapsed="false">
      <c r="A12" s="26" t="s">
        <v>188</v>
      </c>
      <c r="B12" s="4" t="s">
        <v>189</v>
      </c>
      <c r="C12" s="15" t="s">
        <v>59</v>
      </c>
      <c r="D12" s="16" t="s">
        <v>177</v>
      </c>
      <c r="E12" s="27" t="s">
        <v>47</v>
      </c>
      <c r="F12" s="28" t="s">
        <v>174</v>
      </c>
    </row>
    <row r="13" customFormat="false" ht="15" hidden="false" customHeight="false" outlineLevel="0" collapsed="false">
      <c r="A13" s="26" t="s">
        <v>190</v>
      </c>
      <c r="B13" s="4" t="s">
        <v>191</v>
      </c>
      <c r="C13" s="15" t="s">
        <v>59</v>
      </c>
      <c r="D13" s="16" t="s">
        <v>177</v>
      </c>
      <c r="E13" s="27" t="s">
        <v>47</v>
      </c>
      <c r="F13" s="28" t="s">
        <v>174</v>
      </c>
    </row>
    <row r="14" customFormat="false" ht="15" hidden="false" customHeight="false" outlineLevel="0" collapsed="false">
      <c r="A14" s="26" t="s">
        <v>192</v>
      </c>
      <c r="B14" s="4" t="s">
        <v>193</v>
      </c>
      <c r="C14" s="15" t="s">
        <v>53</v>
      </c>
      <c r="D14" s="16" t="s">
        <v>194</v>
      </c>
      <c r="E14" s="27" t="s">
        <v>47</v>
      </c>
      <c r="F14" s="28" t="s">
        <v>174</v>
      </c>
    </row>
    <row r="15" customFormat="false" ht="15" hidden="false" customHeight="false" outlineLevel="0" collapsed="false">
      <c r="A15" s="26" t="s">
        <v>195</v>
      </c>
      <c r="B15" s="4" t="s">
        <v>196</v>
      </c>
      <c r="C15" s="15" t="s">
        <v>53</v>
      </c>
      <c r="D15" s="16" t="s">
        <v>194</v>
      </c>
      <c r="E15" s="27" t="s">
        <v>47</v>
      </c>
      <c r="F15" s="28" t="s">
        <v>174</v>
      </c>
    </row>
    <row r="16" customFormat="false" ht="15" hidden="false" customHeight="false" outlineLevel="0" collapsed="false">
      <c r="A16" s="26" t="s">
        <v>197</v>
      </c>
      <c r="B16" s="4" t="s">
        <v>198</v>
      </c>
      <c r="C16" s="15" t="s">
        <v>94</v>
      </c>
      <c r="D16" s="16" t="s">
        <v>199</v>
      </c>
      <c r="E16" s="27" t="s">
        <v>47</v>
      </c>
      <c r="F16" s="28" t="s">
        <v>174</v>
      </c>
    </row>
    <row r="17" customFormat="false" ht="15" hidden="false" customHeight="false" outlineLevel="0" collapsed="false">
      <c r="A17" s="26" t="s">
        <v>200</v>
      </c>
      <c r="B17" s="4" t="s">
        <v>201</v>
      </c>
      <c r="C17" s="15" t="s">
        <v>94</v>
      </c>
      <c r="D17" s="16" t="s">
        <v>199</v>
      </c>
      <c r="E17" s="27" t="s">
        <v>47</v>
      </c>
      <c r="F17" s="28" t="s">
        <v>174</v>
      </c>
    </row>
    <row r="18" customFormat="false" ht="15" hidden="false" customHeight="false" outlineLevel="0" collapsed="false">
      <c r="A18" s="26" t="s">
        <v>202</v>
      </c>
      <c r="B18" s="4" t="s">
        <v>203</v>
      </c>
      <c r="C18" s="15" t="s">
        <v>83</v>
      </c>
      <c r="D18" s="16" t="s">
        <v>177</v>
      </c>
      <c r="E18" s="27" t="s">
        <v>47</v>
      </c>
      <c r="F18" s="28" t="s">
        <v>174</v>
      </c>
    </row>
    <row r="19" customFormat="false" ht="15" hidden="false" customHeight="false" outlineLevel="0" collapsed="false">
      <c r="A19" s="26" t="s">
        <v>204</v>
      </c>
      <c r="B19" s="4" t="s">
        <v>205</v>
      </c>
      <c r="C19" s="15" t="s">
        <v>83</v>
      </c>
      <c r="D19" s="16" t="s">
        <v>177</v>
      </c>
      <c r="E19" s="27" t="s">
        <v>47</v>
      </c>
      <c r="F19" s="28" t="s">
        <v>174</v>
      </c>
    </row>
    <row r="21" customFormat="false" ht="15" hidden="false" customHeight="false" outlineLevel="0" collapsed="false">
      <c r="A21" s="5" t="s">
        <v>206</v>
      </c>
      <c r="B21" s="29" t="str">
        <f aca="false">COUNTIF(F5:F19,"Pass")&amp;" / "&amp;COUNTA(A5:A19)&amp;" passing"</f>
        <v>0 / 15 passing</v>
      </c>
    </row>
    <row r="22" customFormat="false" ht="23.85" hidden="false" customHeight="false" outlineLevel="0" collapsed="false">
      <c r="A22" s="5" t="s">
        <v>207</v>
      </c>
      <c r="B22" s="4" t="s">
        <v>208</v>
      </c>
    </row>
  </sheetData>
  <autoFilter ref="A4:F19"/>
  <dataValidations count="1">
    <dataValidation allowBlank="true" errorStyle="stop" operator="between" showDropDown="false" showErrorMessage="false" showInputMessage="false" sqref="F5:F19" type="list">
      <formula1>"Not built,Pass,Fail"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3" min="2" style="0" width="5"/>
  </cols>
  <sheetData>
    <row r="1" customFormat="false" ht="17.35" hidden="false" customHeight="false" outlineLevel="0" collapsed="false">
      <c r="A1" s="10" t="s">
        <v>209</v>
      </c>
    </row>
    <row r="3" customFormat="false" ht="35.05" hidden="false" customHeight="false" outlineLevel="0" collapsed="false">
      <c r="A3" s="11" t="s">
        <v>168</v>
      </c>
      <c r="B3" s="11" t="s">
        <v>210</v>
      </c>
      <c r="C3" s="11" t="s">
        <v>211</v>
      </c>
      <c r="D3" s="11" t="s">
        <v>212</v>
      </c>
      <c r="E3" s="11" t="s">
        <v>213</v>
      </c>
      <c r="F3" s="11" t="s">
        <v>214</v>
      </c>
      <c r="G3" s="11" t="s">
        <v>215</v>
      </c>
    </row>
    <row r="4" customFormat="false" ht="359.7" hidden="false" customHeight="false" outlineLevel="0" collapsed="false">
      <c r="A4" s="24" t="s">
        <v>216</v>
      </c>
      <c r="B4" s="30" t="s">
        <v>217</v>
      </c>
      <c r="C4" s="4" t="s">
        <v>218</v>
      </c>
      <c r="D4" s="4" t="s">
        <v>219</v>
      </c>
      <c r="E4" s="4" t="s">
        <v>220</v>
      </c>
      <c r="F4" s="4" t="s">
        <v>221</v>
      </c>
      <c r="G4" s="4" t="s">
        <v>222</v>
      </c>
    </row>
    <row r="5" customFormat="false" ht="583.55" hidden="false" customHeight="false" outlineLevel="0" collapsed="false">
      <c r="A5" s="31" t="s">
        <v>223</v>
      </c>
      <c r="B5" s="12" t="s">
        <v>224</v>
      </c>
      <c r="C5" s="4" t="s">
        <v>225</v>
      </c>
      <c r="D5" s="4" t="s">
        <v>226</v>
      </c>
      <c r="E5" s="4" t="s">
        <v>227</v>
      </c>
      <c r="F5" s="4" t="s">
        <v>228</v>
      </c>
      <c r="G5" s="4" t="s">
        <v>229</v>
      </c>
    </row>
    <row r="6" customFormat="false" ht="460.4" hidden="false" customHeight="false" outlineLevel="0" collapsed="false">
      <c r="A6" s="24" t="s">
        <v>230</v>
      </c>
      <c r="B6" s="30" t="s">
        <v>231</v>
      </c>
      <c r="C6" s="4" t="s">
        <v>232</v>
      </c>
      <c r="D6" s="4" t="s">
        <v>233</v>
      </c>
      <c r="E6" s="4" t="s">
        <v>234</v>
      </c>
      <c r="F6" s="4" t="s">
        <v>235</v>
      </c>
      <c r="G6" s="4" t="s">
        <v>236</v>
      </c>
    </row>
    <row r="7" customFormat="false" ht="393.25" hidden="false" customHeight="false" outlineLevel="0" collapsed="false">
      <c r="A7" s="31" t="s">
        <v>237</v>
      </c>
      <c r="B7" s="12" t="s">
        <v>238</v>
      </c>
      <c r="C7" s="4" t="s">
        <v>239</v>
      </c>
      <c r="D7" s="4" t="s">
        <v>240</v>
      </c>
      <c r="E7" s="4" t="s">
        <v>241</v>
      </c>
      <c r="F7" s="4" t="s">
        <v>242</v>
      </c>
      <c r="G7" s="4" t="s">
        <v>243</v>
      </c>
    </row>
    <row r="8" customFormat="false" ht="393.25" hidden="false" customHeight="false" outlineLevel="0" collapsed="false">
      <c r="A8" s="24" t="s">
        <v>244</v>
      </c>
      <c r="B8" s="30" t="s">
        <v>245</v>
      </c>
      <c r="C8" s="4" t="s">
        <v>246</v>
      </c>
      <c r="D8" s="4" t="s">
        <v>247</v>
      </c>
      <c r="E8" s="4" t="s">
        <v>248</v>
      </c>
      <c r="F8" s="4" t="s">
        <v>249</v>
      </c>
      <c r="G8" s="4" t="s">
        <v>250</v>
      </c>
    </row>
    <row r="11" customFormat="false" ht="15" hidden="false" customHeight="false" outlineLevel="0" collapsed="false">
      <c r="A11" s="5" t="s">
        <v>251</v>
      </c>
    </row>
    <row r="12" customFormat="false" ht="15" hidden="false" customHeight="false" outlineLevel="0" collapsed="false">
      <c r="A12" s="32" t="s">
        <v>167</v>
      </c>
      <c r="B12" s="33" t="s">
        <v>252</v>
      </c>
      <c r="C12" s="33" t="s">
        <v>253</v>
      </c>
      <c r="D12" s="33" t="s">
        <v>254</v>
      </c>
      <c r="E12" s="33" t="s">
        <v>255</v>
      </c>
      <c r="F12" s="33" t="s">
        <v>256</v>
      </c>
      <c r="G12" s="33" t="s">
        <v>257</v>
      </c>
      <c r="H12" s="33" t="s">
        <v>258</v>
      </c>
      <c r="I12" s="33" t="s">
        <v>259</v>
      </c>
      <c r="J12" s="33" t="s">
        <v>260</v>
      </c>
      <c r="K12" s="33" t="s">
        <v>261</v>
      </c>
      <c r="L12" s="33" t="s">
        <v>262</v>
      </c>
      <c r="M12" s="33" t="s">
        <v>263</v>
      </c>
    </row>
    <row r="13" customFormat="false" ht="15" hidden="false" customHeight="false" outlineLevel="0" collapsed="false">
      <c r="A13" s="26" t="s">
        <v>264</v>
      </c>
      <c r="B13" s="34"/>
      <c r="C13" s="34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customFormat="false" ht="15" hidden="false" customHeight="false" outlineLevel="0" collapsed="false">
      <c r="A14" s="26" t="s">
        <v>265</v>
      </c>
      <c r="B14" s="35"/>
      <c r="C14" s="35"/>
      <c r="D14" s="34"/>
      <c r="E14" s="34"/>
      <c r="F14" s="34"/>
      <c r="G14" s="35"/>
      <c r="H14" s="35"/>
      <c r="I14" s="35"/>
      <c r="J14" s="35"/>
      <c r="K14" s="35"/>
      <c r="L14" s="35"/>
      <c r="M14" s="35"/>
    </row>
    <row r="15" customFormat="false" ht="15" hidden="false" customHeight="false" outlineLevel="0" collapsed="false">
      <c r="A15" s="26" t="s">
        <v>266</v>
      </c>
      <c r="B15" s="35"/>
      <c r="C15" s="35"/>
      <c r="D15" s="34"/>
      <c r="E15" s="34"/>
      <c r="F15" s="35"/>
      <c r="G15" s="35"/>
      <c r="H15" s="35"/>
      <c r="I15" s="35"/>
      <c r="J15" s="35"/>
      <c r="K15" s="35"/>
      <c r="L15" s="35"/>
      <c r="M15" s="35"/>
    </row>
    <row r="16" customFormat="false" ht="15" hidden="false" customHeight="false" outlineLevel="0" collapsed="false">
      <c r="A16" s="26" t="s">
        <v>267</v>
      </c>
      <c r="B16" s="35"/>
      <c r="C16" s="35"/>
      <c r="D16" s="34"/>
      <c r="E16" s="34"/>
      <c r="F16" s="35"/>
      <c r="G16" s="35"/>
      <c r="H16" s="35"/>
      <c r="I16" s="35"/>
      <c r="J16" s="35"/>
      <c r="K16" s="35"/>
      <c r="L16" s="35"/>
      <c r="M16" s="35"/>
    </row>
    <row r="17" customFormat="false" ht="15" hidden="false" customHeight="false" outlineLevel="0" collapsed="false">
      <c r="A17" s="26" t="s">
        <v>268</v>
      </c>
      <c r="B17" s="35"/>
      <c r="C17" s="35"/>
      <c r="D17" s="35"/>
      <c r="E17" s="34"/>
      <c r="F17" s="34"/>
      <c r="G17" s="35"/>
      <c r="H17" s="35"/>
      <c r="I17" s="35"/>
      <c r="J17" s="35"/>
      <c r="K17" s="35"/>
      <c r="L17" s="35"/>
      <c r="M17" s="35"/>
    </row>
    <row r="18" customFormat="false" ht="15" hidden="false" customHeight="false" outlineLevel="0" collapsed="false">
      <c r="A18" s="26" t="s">
        <v>269</v>
      </c>
      <c r="B18" s="35"/>
      <c r="C18" s="35"/>
      <c r="D18" s="35"/>
      <c r="E18" s="35"/>
      <c r="F18" s="35"/>
      <c r="G18" s="34"/>
      <c r="H18" s="34"/>
      <c r="I18" s="34"/>
      <c r="J18" s="35"/>
      <c r="K18" s="35"/>
      <c r="L18" s="35"/>
      <c r="M18" s="35"/>
    </row>
    <row r="19" customFormat="false" ht="15" hidden="false" customHeight="false" outlineLevel="0" collapsed="false">
      <c r="A19" s="26" t="s">
        <v>270</v>
      </c>
      <c r="B19" s="35"/>
      <c r="C19" s="35"/>
      <c r="D19" s="35"/>
      <c r="E19" s="35"/>
      <c r="F19" s="35"/>
      <c r="G19" s="35"/>
      <c r="H19" s="35"/>
      <c r="I19" s="35"/>
      <c r="J19" s="34"/>
      <c r="K19" s="34"/>
      <c r="L19" s="35"/>
      <c r="M19" s="35"/>
    </row>
    <row r="20" customFormat="false" ht="15" hidden="false" customHeight="false" outlineLevel="0" collapsed="false">
      <c r="A20" s="26" t="s">
        <v>271</v>
      </c>
      <c r="B20" s="35"/>
      <c r="C20" s="35"/>
      <c r="D20" s="35"/>
      <c r="E20" s="35"/>
      <c r="F20" s="35"/>
      <c r="G20" s="35"/>
      <c r="H20" s="35"/>
      <c r="I20" s="35"/>
      <c r="J20" s="34"/>
      <c r="K20" s="34"/>
      <c r="L20" s="35"/>
      <c r="M20" s="35"/>
    </row>
    <row r="21" customFormat="false" ht="15" hidden="false" customHeight="false" outlineLevel="0" collapsed="false">
      <c r="A21" s="26" t="s">
        <v>272</v>
      </c>
      <c r="B21" s="35"/>
      <c r="C21" s="35"/>
      <c r="D21" s="35"/>
      <c r="E21" s="35"/>
      <c r="F21" s="35"/>
      <c r="G21" s="35"/>
      <c r="H21" s="35"/>
      <c r="I21" s="35"/>
      <c r="J21" s="34"/>
      <c r="K21" s="34"/>
      <c r="L21" s="35"/>
      <c r="M21" s="35"/>
    </row>
    <row r="22" customFormat="false" ht="15" hidden="false" customHeight="false" outlineLevel="0" collapsed="false">
      <c r="A22" s="26" t="s">
        <v>273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4"/>
      <c r="M22" s="34"/>
    </row>
    <row r="23" customFormat="false" ht="15" hidden="false" customHeight="false" outlineLevel="0" collapsed="false">
      <c r="A23" s="26" t="s">
        <v>274</v>
      </c>
      <c r="B23" s="35"/>
      <c r="C23" s="35"/>
      <c r="D23" s="35"/>
      <c r="E23" s="35"/>
      <c r="F23" s="35"/>
      <c r="G23" s="35"/>
      <c r="H23" s="35"/>
      <c r="I23" s="35"/>
      <c r="J23" s="34"/>
      <c r="K23" s="34"/>
      <c r="L23" s="34"/>
      <c r="M2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0" t="s">
        <v>275</v>
      </c>
    </row>
    <row r="3" customFormat="false" ht="15" hidden="false" customHeight="false" outlineLevel="0" collapsed="false">
      <c r="A3" s="11" t="s">
        <v>167</v>
      </c>
      <c r="B3" s="11" t="s">
        <v>276</v>
      </c>
      <c r="C3" s="11" t="s">
        <v>277</v>
      </c>
      <c r="D3" s="11" t="s">
        <v>278</v>
      </c>
    </row>
    <row r="4" customFormat="false" ht="23.85" hidden="false" customHeight="false" outlineLevel="0" collapsed="false">
      <c r="A4" s="26" t="s">
        <v>279</v>
      </c>
      <c r="B4" s="4" t="s">
        <v>280</v>
      </c>
      <c r="C4" s="4" t="s">
        <v>281</v>
      </c>
      <c r="D4" s="19" t="s">
        <v>132</v>
      </c>
    </row>
    <row r="5" customFormat="false" ht="15" hidden="false" customHeight="false" outlineLevel="0" collapsed="false">
      <c r="A5" s="26" t="s">
        <v>282</v>
      </c>
      <c r="B5" s="4" t="s">
        <v>283</v>
      </c>
      <c r="C5" s="4" t="s">
        <v>284</v>
      </c>
      <c r="D5" s="19" t="s">
        <v>132</v>
      </c>
    </row>
    <row r="6" customFormat="false" ht="15" hidden="false" customHeight="false" outlineLevel="0" collapsed="false">
      <c r="A6" s="26" t="s">
        <v>285</v>
      </c>
      <c r="B6" s="4" t="s">
        <v>286</v>
      </c>
      <c r="C6" s="4" t="s">
        <v>287</v>
      </c>
      <c r="D6" s="13" t="s">
        <v>288</v>
      </c>
    </row>
    <row r="7" customFormat="false" ht="15" hidden="false" customHeight="false" outlineLevel="0" collapsed="false">
      <c r="A7" s="26" t="s">
        <v>289</v>
      </c>
      <c r="B7" s="4" t="s">
        <v>290</v>
      </c>
      <c r="C7" s="4" t="s">
        <v>291</v>
      </c>
      <c r="D7" s="36" t="s">
        <v>292</v>
      </c>
    </row>
    <row r="8" customFormat="false" ht="15" hidden="false" customHeight="false" outlineLevel="0" collapsed="false">
      <c r="A8" s="26" t="s">
        <v>293</v>
      </c>
      <c r="B8" s="4" t="s">
        <v>294</v>
      </c>
      <c r="C8" s="4" t="s">
        <v>295</v>
      </c>
      <c r="D8" s="13" t="s">
        <v>296</v>
      </c>
    </row>
    <row r="9" customFormat="false" ht="23.85" hidden="false" customHeight="false" outlineLevel="0" collapsed="false">
      <c r="A9" s="26" t="s">
        <v>269</v>
      </c>
      <c r="B9" s="4" t="s">
        <v>297</v>
      </c>
      <c r="C9" s="4" t="s">
        <v>298</v>
      </c>
      <c r="D9" s="13" t="s">
        <v>296</v>
      </c>
    </row>
    <row r="10" customFormat="false" ht="15" hidden="false" customHeight="false" outlineLevel="0" collapsed="false">
      <c r="A10" s="26" t="s">
        <v>270</v>
      </c>
      <c r="B10" s="4" t="s">
        <v>299</v>
      </c>
      <c r="C10" s="4" t="s">
        <v>300</v>
      </c>
      <c r="D10" s="13" t="s">
        <v>288</v>
      </c>
    </row>
    <row r="11" customFormat="false" ht="15" hidden="false" customHeight="false" outlineLevel="0" collapsed="false">
      <c r="A11" s="26" t="s">
        <v>301</v>
      </c>
      <c r="B11" s="4" t="s">
        <v>302</v>
      </c>
      <c r="C11" s="4" t="s">
        <v>303</v>
      </c>
      <c r="D11" s="19" t="s">
        <v>132</v>
      </c>
    </row>
    <row r="12" customFormat="false" ht="15" hidden="false" customHeight="false" outlineLevel="0" collapsed="false">
      <c r="A12" s="26" t="s">
        <v>272</v>
      </c>
      <c r="B12" s="4" t="s">
        <v>304</v>
      </c>
      <c r="C12" s="4" t="s">
        <v>305</v>
      </c>
      <c r="D12" s="19" t="s">
        <v>132</v>
      </c>
    </row>
    <row r="13" customFormat="false" ht="15" hidden="false" customHeight="false" outlineLevel="0" collapsed="false">
      <c r="A13" s="26" t="s">
        <v>273</v>
      </c>
      <c r="B13" s="4" t="s">
        <v>306</v>
      </c>
      <c r="C13" s="4" t="s">
        <v>307</v>
      </c>
      <c r="D13" s="19" t="s">
        <v>308</v>
      </c>
    </row>
    <row r="14" customFormat="false" ht="15" hidden="false" customHeight="false" outlineLevel="0" collapsed="false">
      <c r="A14" s="26" t="s">
        <v>309</v>
      </c>
      <c r="B14" s="4" t="s">
        <v>310</v>
      </c>
      <c r="C14" s="4" t="s">
        <v>311</v>
      </c>
      <c r="D14" s="19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2026-07-06T10:30:32Z</dcterms:created>
  <dc:creator>openpyxl</dc:creator>
  <dc:description/>
  <dc:language>en-US</dc:language>
  <cp:lastModifiedBy/>
  <dcterms:modified xsi:type="dcterms:W3CDTF">2026-07-06T10:30:32Z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