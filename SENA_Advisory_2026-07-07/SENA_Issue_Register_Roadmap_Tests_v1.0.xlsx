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sue Register" sheetId="1" state="visible" r:id="rId3"/>
    <sheet name="Roadmap 12wk" sheetId="2" state="visible" r:id="rId4"/>
    <sheet name="Test Matrix" sheetId="3" state="visible" r:id="rId5"/>
    <sheet name="Golden Fixture" sheetId="4" state="visible" r:id="rId6"/>
    <sheet name="Definition of Done" sheetId="5" state="visible" r:id="rId7"/>
  </sheets>
  <definedNames>
    <definedName function="false" hidden="true" localSheetId="0" name="_xlnm._FilterDatabase" vbProcedure="false">'Issue Register'!$A$3:$I$26</definedName>
    <definedName function="false" hidden="true" localSheetId="2" name="_xlnm._FilterDatabase" vbProcedure="false">'Test Matrix'!$A$3:$F$27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<sst xmlns="http://schemas.openxmlformats.org/spreadsheetml/2006/main" count="530" uniqueCount="381">
  <si>
    <t xml:space="preserve">SENA Prioritized Issue Register</t>
  </si>
  <si>
    <t xml:space="preserve">v1.0 - 2026-07-07 - Evidence audited against the 2026-07-05 spec, the development plan, www.sena.hk, and the sena-hk-template repo. Effort: S &lt;= 3 dev-days, M &lt;= 2 dev-weeks, L &gt; 2 dev-weeks.</t>
  </si>
  <si>
    <t xml:space="preserve">ID</t>
  </si>
  <si>
    <t xml:space="preserve">Issue</t>
  </si>
  <si>
    <t xml:space="preserve">Severity</t>
  </si>
  <si>
    <t xml:space="preserve">Evidence / Source</t>
  </si>
  <si>
    <t xml:space="preserve">Why it matters</t>
  </si>
  <si>
    <t xml:space="preserve">Affected module</t>
  </si>
  <si>
    <t xml:space="preserve">Recommended fix</t>
  </si>
  <si>
    <t xml:space="preserve">Effort</t>
  </si>
  <si>
    <t xml:space="preserve">Within 3 months?</t>
  </si>
  <si>
    <t xml:space="preserve">SENA-001</t>
  </si>
  <si>
    <t xml:space="preserve">Fusion view coordinates come from the jENA ENA-space projection with social arcs overlaid - not from A_fusion (the spec's 'projection error', Example 1)</t>
  </si>
  <si>
    <t xml:space="preserve">Critical</t>
  </si>
  <si>
    <t xml:space="preserve">Confirmed: lib/sena/layout.ts buildSenaEnaSpaceCoordinateMap (source: jena-js manifest points/nodePositions); CONTEXT.md 'A1 Inner Solid Mesh' grammar; plan G3</t>
  </si>
  <si>
    <t xml:space="preserve">Person-code distances on the canvas carry no analytical meaning; the platform's core scientific claim is invalid until coordinates are jointly estimated from A_fusion (spec Prop. 4)</t>
  </si>
  <si>
    <t xml:space="preserve">M6 Embedding / Workspace UI</t>
  </si>
  <si>
    <t xml:space="preserve">Build embedding service: Laplacian eigenmaps, classical MDS with Schoenberg check, commute-time; fusion view renders Z = Phi(A_fusion); keep overlay only as badged exploratory layout</t>
  </si>
  <si>
    <t xml:space="preserve">L</t>
  </si>
  <si>
    <t xml:space="preserve">Yes</t>
  </si>
  <si>
    <t xml:space="preserve">SENA-002</t>
  </si>
  <si>
    <t xml:space="preserve">No embedding or eigendecomposition exists anywhere in the codebase; no Schoenberg check, no stress/strain, no commute-time</t>
  </si>
  <si>
    <t xml:space="preserve">Confirmed: grep for eigen/schoenberg/commute/mds across lib+components = 0 hits</t>
  </si>
  <si>
    <t xml:space="preserve">Prop. 5 exactness cannot be evaluated; cross-type distance claims cannot carry the required exact/approximate status</t>
  </si>
  <si>
    <t xml:space="preserve">M6 Embedding</t>
  </si>
  <si>
    <t xml:space="preserve">Implement SCHOENBERG_MDS + COMMUTE_TIME_EMBED + stress readout per plan A6; golden tests T10-T11</t>
  </si>
  <si>
    <t xml:space="preserve">SENA-003</t>
  </si>
  <si>
    <t xml:space="preserve">Directed data silently symmetrized by default (undirectedSocial: true; S[target][source] += weight on ingest); no directed fusion, no independent B_PC/B_CP</t>
  </si>
  <si>
    <t xml:space="preserve">Confirmed: lib/sena/model.ts defaultOptions + buildSocialMatrix; plan G7</t>
  </si>
  <si>
    <t xml:space="preserve">Directed uptake/attention data is misrepresented; undirected theorems get applied to directed objects (plan A5 counterexample: min eig -0.218)</t>
  </si>
  <si>
    <t xml:space="preserve">M1 Ingest / M2 Layers / M5 Operators</t>
  </si>
  <si>
    <t xml:space="preserve">Preserve R; explicit direction config; directed operators (out/in-degree RW); symmetrization only as a declared, permanently badged choice; support B_CP upload</t>
  </si>
  <si>
    <t xml:space="preserve">M</t>
  </si>
  <si>
    <t xml:space="preserve">SENA-004</t>
  </si>
  <si>
    <t xml:space="preserve">Hard-coded undisclosed layer weights alpha=0.72, beta=0.64, gamma=0.86 with no derivation, disclosure, or sensitivity analysis</t>
  </si>
  <si>
    <t xml:space="preserve">High</t>
  </si>
  <si>
    <t xml:space="preserve">Confirmed: lib/sena/model.ts defaultOptions</t>
  </si>
  <si>
    <t xml:space="preserve">Arbitrary constants steer every view; spec Cor. 2 makes weights meaningless without the declared normalization; no sensitivity = no defensible claims</t>
  </si>
  <si>
    <t xml:space="preserve">M3/M4 + UI</t>
  </si>
  <si>
    <t xml:space="preserve">Default to 1,1,1; move to config; disclose in model card with normalization rule; add (alpha,beta,gamma) sensitivity grid to nightly CI</t>
  </si>
  <si>
    <t xml:space="preserve">S</t>
  </si>
  <si>
    <t xml:space="preserve">SENA-005</t>
  </si>
  <si>
    <t xml:space="preserve">Normalization engine lacks admissibility axioms; 'none' rule allowed; Frobenius missing; no symmetry/nonnegativity/N(0)=0/positive-divisor assertions</t>
  </si>
  <si>
    <t xml:space="preserve">Confirmed: lib/sena/model.ts normalizeMatrix; plan G8</t>
  </si>
  <si>
    <t xml:space="preserve">Axiom violations pass silently; alpha/beta/gamma meaning drifts across rules; Def. 4 is the foundation of layer comparability</t>
  </si>
  <si>
    <t xml:space="preserve">M3 Normalization</t>
  </si>
  <si>
    <t xml:space="preserve">Implement ADMISSIBLE_NORMALIZE per plan A2 (max, frobenius, log1p_max only); assert all five axioms; record divisors + scale-invariance flag in provenance; tests T14-T15</t>
  </si>
  <si>
    <t xml:space="preserve">SENA-006</t>
  </si>
  <si>
    <t xml:space="preserve">No isolated-vertex handling: no I0 registry, no V+ restriction, no zero-inverse or epsilon conventions for D^-1 operators</t>
  </si>
  <si>
    <t xml:space="preserve">Confirmed: grep isolated/I0/zero-degree in lib/sena = 0 hits; plan G6</t>
  </si>
  <si>
    <t xml:space="preserve">Zero-degree nodes will crash or silently corrupt normalized operators; spec requires retention and declared conventions</t>
  </si>
  <si>
    <t xml:space="preserve">M5 Operators + UI panel</t>
  </si>
  <si>
    <t xml:space="preserve">DEGREES_AND_ISOLATED per plan A4; three conventions implemented + provenance; isolated-node UI panel (dimmed, never dropped); tests T4-T7</t>
  </si>
  <si>
    <t xml:space="preserve">SENA-007</t>
  </si>
  <si>
    <t xml:space="preserve">No golden regression fixtures: the worked example's numbers appear nowhere in the test suite</t>
  </si>
  <si>
    <t xml:space="preserve">Confirmed: lib/sena/__tests__/sena.test.ts (4,986 lines) contains none of d=(2,2.25,1.25,...) or spectrum {0,0.88,1.88,2.61,3.31,3.81}; plan G2</t>
  </si>
  <si>
    <t xml:space="preserve">Any modification is unverifiable; the migration cannot start safely; this is the single cheapest highest-value fix</t>
  </si>
  <si>
    <t xml:space="preserve">Testing / CI</t>
  </si>
  <si>
    <t xml:space="preserve">Encode worked-example fixture + T1-T15 in week 1-2 (P0), run in expected-fail mode, burn down</t>
  </si>
  <si>
    <t xml:space="preserve">SENA-008</t>
  </si>
  <si>
    <t xml:space="preserve">Test pyramid inverted: ~30 test files guard enterprise/auth/ops routes; math core has no fixture-based tests</t>
  </si>
  <si>
    <t xml:space="preserve">Confirmed: lib/sena/__tests__ listing (scim, mfa, backup, go-live, alerts...) vs. no math goldens</t>
  </si>
  <si>
    <t xml:space="preserve">Regression protection is concentrated exactly where correctness matters least for the research claims</t>
  </si>
  <si>
    <t xml:space="preserve">Testing</t>
  </si>
  <si>
    <t xml:space="preserve">Moratorium on new route tests until golden + unit math suites exist; CI gates per test strategy doc</t>
  </si>
  <si>
    <t xml:space="preserve">SENA-009</t>
  </si>
  <si>
    <t xml:space="preserve">God component: components/sena/SenaFusionWorkspace.tsx is 10,860 lines; layout math lives in components (workspace/fusion-layout.ts)</t>
  </si>
  <si>
    <t xml:space="preserve">Confirmed: wc -l = 10,860; fusion-layout.ts in components tree</t>
  </si>
  <si>
    <t xml:space="preserve">Unreviewable, unmergeable, untestable; UI and math entangled blocks every subsequent fix</t>
  </si>
  <si>
    <t xml:space="preserve">UI architecture</t>
  </si>
  <si>
    <t xml:space="preserve">Decompose into &lt;500-line components; move all computation into lib/ (or server); UI consumes typed view-models only</t>
  </si>
  <si>
    <t xml:space="preserve">Yes (partial: extract compute paths first)</t>
  </si>
  <si>
    <t xml:space="preserve">SENA-010</t>
  </si>
  <si>
    <t xml:space="preserve">Invented, undeclared metrics shown to users: conceptBrokerage = sum(w/(0.5+W_ab)) with magic 0.5; neighborContribution = S x B row products; z-scores mixed across types</t>
  </si>
  <si>
    <t xml:space="preserve">Confirmed: lib/sena/model.ts buildMetrics</t>
  </si>
  <si>
    <t xml:space="preserve">Unvalidated numbers presented as analytics; not in the spec; magic epsilon is an undeclared regularization; risks false role claims</t>
  </si>
  <si>
    <t xml:space="preserve">M8 Typed centrality</t>
  </si>
  <si>
    <t xml:space="preserve">Replace with spec's four typed families (S-block, W-block, B-bipartite, whole-graph typed with tag); if kept, label experimental + model-card entry + sensitivity</t>
  </si>
  <si>
    <t xml:space="preserve">SENA-011</t>
  </si>
  <si>
    <t xml:space="preserve">Attribution deviates from spec: G built from stanza grouping (not G_i = X^T diag(Y_i) X); no normalized G_hat; 'contribution/contributes' wording is the default everywhere</t>
  </si>
  <si>
    <t xml:space="preserve">Confirmed: lib/sena/model.ts buildPairContribution; fusion-math.ts notes ('explains who contributes'); CONTEXT.md defines G as 'contribution layer'; plan G5</t>
  </si>
  <si>
    <t xml:space="preserve">Overstates individual contribution (spec Example 4); G/G_hat identities are the spec's own audit mechanism and are absent</t>
  </si>
  <si>
    <t xml:space="preserve">M7 Attribution</t>
  </si>
  <si>
    <t xml:space="preserve">Implement A7: G_i = X^T diag(Y_i,:) X + G_hat with 0/0-&gt;0; identity tests T12-T13; wording gate: association/exposure unless X_ita present</t>
  </si>
  <si>
    <t xml:space="preserve">SENA-012</t>
  </si>
  <si>
    <t xml:space="preserve">Bridge B silently mixes counts with AI coding confidence (B += segment.confidence ?? 1) - weighting rule undeclared</t>
  </si>
  <si>
    <t xml:space="preserve">Medium</t>
  </si>
  <si>
    <t xml:space="preserve">Confirmed: lib/sena/model.ts buildBridgeMatrix</t>
  </si>
  <si>
    <t xml:space="preserve">Bridge semantics undefined; AI-reliability leaks into edge weights without disclosure; breaks reproducibility across coder configurations</t>
  </si>
  <si>
    <t xml:space="preserve">M2 Layers</t>
  </si>
  <si>
    <t xml:space="preserve">Make count-based vs confidence-weighted an explicit declared config; disclose in model card item 2; fixture for each</t>
  </si>
  <si>
    <t xml:space="preserve">SENA-013</t>
  </si>
  <si>
    <t xml:space="preserve">API contract (60 resources / 94 methods) contains zero occurrences of fusion, alpha/beta/gamma, normalization, Laplacian, embedding, seed, isolated, directed</t>
  </si>
  <si>
    <t xml:space="preserve">Confirmed: grep over the 93KB OpenAPI export at /api/sena/docs</t>
  </si>
  <si>
    <t xml:space="preserve">The public contract cannot express the model's conventions; provenance and model cards cannot flow to clients or exports</t>
  </si>
  <si>
    <t xml:space="preserve">API / M11</t>
  </si>
  <si>
    <t xml:space="preserve">Analysis API v2: config in, provenance envelope out on every response (see advisory report section 4); version via schema-registry</t>
  </si>
  <si>
    <t xml:space="preserve">SENA-014</t>
  </si>
  <si>
    <t xml:space="preserve">Inverted API surface: analytical core is one monolithic /api/sena/analyze resource while 22 ops resources + SCIM/SSO/MFA/go-live/attestation surround it</t>
  </si>
  <si>
    <t xml:space="preserve">Confirmed: /docs API table; repo lib/sena/* dominated by enterprise/ops modules</t>
  </si>
  <si>
    <t xml:space="preserve">Maintenance surface vastly exceeds a small team's capacity; core analysis is under-specified while ceremony accumulates</t>
  </si>
  <si>
    <t xml:space="preserve">Architecture</t>
  </si>
  <si>
    <t xml:space="preserve">Freeze the enterprise/ops surface (change moratorium, no deletion needed); decompose analysis API along M1-M11 seams</t>
  </si>
  <si>
    <t xml:space="preserve">Yes (freeze now, decompose through P1-P3)</t>
  </si>
  <si>
    <t xml:space="preserve">SENA-015</t>
  </si>
  <si>
    <t xml:space="preserve">Legacy ENA engine publicly invokable without auth: POST /api/ena/run (group legacy-ena, auth: public)</t>
  </si>
  <si>
    <t xml:space="preserve">Confirmed: /docs API table</t>
  </si>
  <si>
    <t xml:space="preserve">Abuse/DoS vector; legacy June-11 semantics remain callable and can contradict the migrated engine</t>
  </si>
  <si>
    <t xml:space="preserve">Security / API</t>
  </si>
  <si>
    <t xml:space="preserve">Gate behind session auth or remove; publish deprecation date; redirect docs to v2</t>
  </si>
  <si>
    <t xml:space="preserve">SENA-016</t>
  </si>
  <si>
    <t xml:space="preserve">Legal/ethics pages are placeholders: Privacy, Terms, Security, Responsible AI links all point to /#docs anchors; site invites registration + discourse upload</t>
  </si>
  <si>
    <t xml:space="preserve">Confirmed: footer links on every page fetched 2026-07-07</t>
  </si>
  <si>
    <t xml:space="preserve">A platform analyzing student discourse cannot invite uploads without a privacy policy, terms, and consent language; PDPO (HK) / IRB exposure</t>
  </si>
  <si>
    <t xml:space="preserve">Product / Legal</t>
  </si>
  <si>
    <t xml:space="preserve">Ship real Privacy, Terms, Security, Responsible-AI pages before any real-data beta; add consent + pseudonymization fields to dataset contract</t>
  </si>
  <si>
    <t xml:space="preserve">SENA-017</t>
  </si>
  <si>
    <t xml:space="preserve">No reproducibility controls: no seed parameter anywhere in the analysis path; no dataset content-hash versioning</t>
  </si>
  <si>
    <t xml:space="preserve">Confirmed: grep seed in lib/sena math path = 0 (excl. unrelated); no version hash on datasets</t>
  </si>
  <si>
    <t xml:space="preserve">Stochastic steps (future embeddings, permutation tests) will be irreproducible; exports cannot be tied to inputs</t>
  </si>
  <si>
    <t xml:space="preserve">M1-M11</t>
  </si>
  <si>
    <t xml:space="preserve">seed in AnalysisConfig threaded to all stochastic ops; dataset version = content hash; both in model card</t>
  </si>
  <si>
    <t xml:space="preserve">SENA-018</t>
  </si>
  <si>
    <t xml:space="preserve">Marketing math contradicts the spec: /method shows 'SENA(t) = SNA(t) (+) ENA(t)' (a direct sum = block-diagonal = gamma 0 = no bridge); /platform Fusion Lab declares inputs 'ENA outputs + SNA outputs'</t>
  </si>
  <si>
    <t xml:space="preserve">Confirmed: sena.hk/method and /platform fetched 2026-07-07</t>
  </si>
  <si>
    <t xml:space="preserve">The site's own copy describes the disconnected boundary case and the overlay pipeline the spec forbids; erodes credibility with exactly the reviewers SENA must convince</t>
  </si>
  <si>
    <t xml:space="preserve">Content / Docs</t>
  </si>
  <si>
    <t xml:space="preserve">Rewrite method/platform copy to the spec's blessed sentence (heterogeneous typed block-adjacency); Fusion Lab inputs become S, W, B layers</t>
  </si>
  <si>
    <t xml:space="preserve">SENA-019</t>
  </si>
  <si>
    <t xml:space="preserve">Naming drift A_SENA vs A_fusion across code, docs and exports (plan G1); core lib uses A_fusion but export/report surfaces inconsistent</t>
  </si>
  <si>
    <t xml:space="preserve">Plan G1 (team-documented); repo core confirmed A_fusion</t>
  </si>
  <si>
    <t xml:space="preserve">Broken traceability between paper, code, UI and exports; reviewer confusion</t>
  </si>
  <si>
    <t xml:space="preserve">All modules</t>
  </si>
  <si>
    <t xml:space="preserve">Single-name sweep + lint ban on A_SENA; rename in API labels, UI, exported reports</t>
  </si>
  <si>
    <t xml:space="preserve">SENA-020</t>
  </si>
  <si>
    <t xml:space="preserve">Temporal comparisons without declared normalization policy or significance testing; no permutation/bootstrap tooling anywhere</t>
  </si>
  <si>
    <t xml:space="preserve">Confirmed: temporal-runtime.ts has no validation hooks; plan G10</t>
  </si>
  <si>
    <t xml:space="preserve">Temporal and group-difference claims are unsupported (spec claim-to-validation table); 'never report raw distance alone' (plan A9)</t>
  </si>
  <si>
    <t xml:space="preserve">M9/M10</t>
  </si>
  <si>
    <t xml:space="preserve">norm_policy = global_denominator | per_time disclosed; VALIDATE() with seeded permutation + window bootstrap; p-values in model card</t>
  </si>
  <si>
    <t xml:space="preserve">SENA-021</t>
  </si>
  <si>
    <t xml:space="preserve">All analytics execute client-side in the browser via vendored forks (vendor/jena-js, vendor/sna-js); no server-side source of truth for computed results</t>
  </si>
  <si>
    <t xml:space="preserve">Confirmed: CONTEXT.md Runtime Boundaries; vendor/ tree</t>
  </si>
  <si>
    <t xml:space="preserve">Numeric fidelity depends on unversioned forks; exports can't be recomputed server-side; limits dataset scale and auditability</t>
  </si>
  <si>
    <t xml:space="preserve">Extract analytics kernel as a versioned package; run compute server-side for exports/validation; pin + parity-test vendored libs against reference outputs</t>
  </si>
  <si>
    <t xml:space="preserve">Partial (kernel extraction yes; full server compute can extend past week 12)</t>
  </si>
  <si>
    <t xml:space="preserve">SENA-022</t>
  </si>
  <si>
    <t xml:space="preserve">Canvas coordinate clamping silently distorts even the exploratory geometry (scaleCoordinates clamps x,y into margins)</t>
  </si>
  <si>
    <t xml:space="preserve">Low</t>
  </si>
  <si>
    <t xml:space="preserve">Confirmed: lib/sena/layout.ts scaleCoordinates Math.max/Math.min clamp</t>
  </si>
  <si>
    <t xml:space="preserve">Edge-of-canvas distances are wrong even for the layout view; invisible to users</t>
  </si>
  <si>
    <t xml:space="preserve">UI</t>
  </si>
  <si>
    <t xml:space="preserve">Scale-to-fit without clamping (already computes scale); if clamping retained, mark clipped points visually</t>
  </si>
  <si>
    <t xml:space="preserve">SENA-023</t>
  </si>
  <si>
    <t xml:space="preserve">Enterprise store is a file-backed JSON (.sena-enterprise/enterprise-db.json) holding auth/team data, with uploads on local disk; PII risk if deployed as-is</t>
  </si>
  <si>
    <t xml:space="preserve">Confirmed: CONTEXT.md Runtime Boundaries; .sena-enterprise/uploads in tree</t>
  </si>
  <si>
    <t xml:space="preserve">Credentials/PII in a flat file inside the app directory; backup/exfil risk; not fit for real student data</t>
  </si>
  <si>
    <t xml:space="preserve">Security / Infra</t>
  </si>
  <si>
    <t xml:space="preserve">Use the existing Postgres adapter path for beta; encrypt uploads at rest; verify .gitignore excludes the store; document retention/deletion</t>
  </si>
  <si>
    <t xml:space="preserve">Summary</t>
  </si>
  <si>
    <t xml:space="preserve">Total</t>
  </si>
  <si>
    <t xml:space="preserve">SENA 12-Week Remediation Roadmap</t>
  </si>
  <si>
    <t xml:space="preserve">v1.0 - 2026-07-07 - Compresses the development plan's P0-P5 (16 weeks) into 12 by deferring the items in the last row. Dependencies: each phase gates the next; golden tests are the contract between phases.</t>
  </si>
  <si>
    <t xml:space="preserve">Phase</t>
  </si>
  <si>
    <t xml:space="preserve">Weeks</t>
  </si>
  <si>
    <t xml:space="preserve">Goal</t>
  </si>
  <si>
    <t xml:space="preserve">Key tasks</t>
  </si>
  <si>
    <t xml:space="preserve">Owner role needed</t>
  </si>
  <si>
    <t xml:space="preserve">Risks</t>
  </si>
  <si>
    <t xml:space="preserve">Exit criteria</t>
  </si>
  <si>
    <t xml:space="preserve">P0 Foundations</t>
  </si>
  <si>
    <t xml:space="preserve">1-2</t>
  </si>
  <si>
    <t xml:space="preserve">Make change safe before making change</t>
  </si>
  <si>
    <t xml:space="preserve">Repo audit + module map along M1-M11 seams; enterprise/ops change moratorium; A_SENA -&gt; A_fusion naming sweep; typed data contract (dataset, config, provenance) in schema-registry; golden-test harness with worked-example fixture; T1-T4 encoded (expected-fail allowed, each red = ticket); CI pipeline gating PRs</t>
  </si>
  <si>
    <t xml:space="preserve">Senior full-stack architect + junior dev (pairing)</t>
  </si>
  <si>
    <t xml:space="preserve">Temptation to fix math while building harness (resist); hidden coupling in 10.9k-line workspace component slows audit</t>
  </si>
  <si>
    <t xml:space="preserve">Harness runs T1-T4 in CI; data contract published; moratorium in effect; issue register triaged into tickets</t>
  </si>
  <si>
    <t xml:space="preserve">P1 Correct core</t>
  </si>
  <si>
    <t xml:space="preserve">3-5</t>
  </si>
  <si>
    <t xml:space="preserve">The mathematical object becomes real and lawful</t>
  </si>
  <si>
    <t xml:space="preserve">Layer builders per A1 (directed R preserved end-to-end; B count-vs-confidence declared; B_PC/B_CP ingest); ADMISSIBLE_NORMALIZE (max, frobenius, log1p_max; remove 'none'); fusion assembly + directed variant with tags; degrees/I0/V+ registry; Laplacian + three zero-degree conventions; directed operators (out/in RW, badged symmetrize); defaults alpha=beta=gamma=1 from config</t>
  </si>
  <si>
    <t xml:space="preserve">Math-literate backend dev (lead) + junior dev</t>
  </si>
  <si>
    <t xml:space="preserve">Symmetrization removal breaks existing views (mitigate: feature flag old path, badge it); normalization changes shift all edge weights (expected - explain to stakeholders)</t>
  </si>
  <si>
    <t xml:space="preserve">T1-T9, T14, T15 green in CI; ingest test proves no silent symmetrization; provenance record emitted by every module</t>
  </si>
  <si>
    <t xml:space="preserve">P2 Embedding truth</t>
  </si>
  <si>
    <t xml:space="preserve">6-8</t>
  </si>
  <si>
    <t xml:space="preserve">Person-code geometry becomes defensible</t>
  </si>
  <si>
    <t xml:space="preserve">Embedding service: Laplacian eigenmaps, classical MDS + Schoenberg check, commute-time (dense pseudoinverse, cached); stress/strain + metric_exact in provenance; fusion view v2 renders Z = Phi(A_fusion); two-ring/ENA-overlay demoted to 'Exploratory layout' with badge; metric badge UI (operator, delta, d, seed, exact/stress)</t>
  </si>
  <si>
    <t xml:space="preserve">Backend dev + senior architect (numerics review); UI dev for canvas swap</t>
  </si>
  <si>
    <t xml:space="preserve">JS eigensolver numerics vs golden tolerances (fallback: server-side Python operator service); user pushback on changed layout (mitigate: keep overlay as named option)</t>
  </si>
  <si>
    <t xml:space="preserve">T10-T11 green; workspace coordinates hash-match embedding output; badges render in e2e tests</t>
  </si>
  <si>
    <t xml:space="preserve">P3 Attribution + typed measures</t>
  </si>
  <si>
    <t xml:space="preserve">9-10</t>
  </si>
  <si>
    <t xml:space="preserve">Say only what the evidence supports</t>
  </si>
  <si>
    <t xml:space="preserve">Attribution service per A7 (G_i = X^T diag(Y_i) X, G_hat 0/0-&gt;0) + identity tests; wording gate (association vs contribution keyed to X_ita presence); typed centrality four families replacing/relabeling invented metrics; temporal norm_policy disclosure; model card generator v1 wired to provenance; render-block on incomplete card</t>
  </si>
  <si>
    <t xml:space="preserve">Backend dev + UI dev; PhD reviewer signs wording rules</t>
  </si>
  <si>
    <t xml:space="preserve">Wording gate touches many strings (centralize string builders first); G rework changes heatmaps users know</t>
  </si>
  <si>
    <t xml:space="preserve">T12-T13 green; no mixed-type ranked list without tags (contract test); model card on every export; wording gate unit-tested</t>
  </si>
  <si>
    <t xml:space="preserve">P4 Validation + hardening</t>
  </si>
  <si>
    <t xml:space="preserve">11-12</t>
  </si>
  <si>
    <t xml:space="preserve">Claims get tests; the site gets trust</t>
  </si>
  <si>
    <t xml:space="preserve">VALIDATE() with seeded permutation (group labels, speaker labels) + window bootstrap; p-values + seeds in model card; UI badge catalog complete; method/platform copy rewritten to spec language; real Privacy/Terms/Security pages; gate /api/ena/run; Postgres store for beta; beta with one real (pseudonymized, consented) CSCL dataset; deployment checklist</t>
  </si>
  <si>
    <t xml:space="preserve">Full team + founder for copy/legal; QA pass</t>
  </si>
  <si>
    <t xml:space="preserve">Beta dataset consent/ethics lead time (start paperwork in P1); permutation runtime on real data (background jobs via existing ops/jobs queue)</t>
  </si>
  <si>
    <t xml:space="preserve">All 15 golden tests green in CI on main; beta session end-to-end with model-carded exports; policy pages live; p-values reproducible by seed</t>
  </si>
  <si>
    <t xml:space="preserve">Deferred (explicitly out of 12 weeks)</t>
  </si>
  <si>
    <t xml:space="preserve">13-16</t>
  </si>
  <si>
    <t xml:space="preserve">Scope protection</t>
  </si>
  <si>
    <t xml:space="preserve">Full 47-check verification suite automation; Nystrom/sparse L+ path (N &gt; ~3000); diffusion distance; in-degree operator variants beyond baseline; SCIM/enterprise surface un-freeze; report-generator polish; multi-language UI</t>
  </si>
  <si>
    <t xml:space="preserve">-</t>
  </si>
  <si>
    <t xml:space="preserve">Deferring these is the price of hitting week 12; revisit at P4 exit review</t>
  </si>
  <si>
    <t xml:space="preserve">Deferral list reviewed and re-prioritized at week 12 retro</t>
  </si>
  <si>
    <t xml:space="preserve">SENA Golden Test Matrix</t>
  </si>
  <si>
    <t xml:space="preserve">v1.0 - 2026-07-07 - T1-T15 from the development plan section 6 (normative). S1-S9 supporting suites from the advisory test strategy. Status column to be updated by the team.</t>
  </si>
  <si>
    <t xml:space="preserve">Asserts</t>
  </si>
  <si>
    <t xml:space="preserve">Expected / tolerance</t>
  </si>
  <si>
    <t xml:space="preserve">Module</t>
  </si>
  <si>
    <t xml:space="preserve">CI stage</t>
  </si>
  <si>
    <t xml:space="preserve">Status (2026-07-07)</t>
  </si>
  <si>
    <t xml:space="preserve">T1</t>
  </si>
  <si>
    <t xml:space="preserve">A_fusion equals the 6x6 exact-fraction matrix from the spec</t>
  </si>
  <si>
    <t xml:space="preserve">max |A - expected| &lt; 1e-12</t>
  </si>
  <si>
    <t xml:space="preserve">M4 Fusion</t>
  </si>
  <si>
    <t xml:space="preserve">PR</t>
  </si>
  <si>
    <t xml:space="preserve">Not implemented</t>
  </si>
  <si>
    <t xml:space="preserve">T2</t>
  </si>
  <si>
    <t xml:space="preserve">Typed degrees</t>
  </si>
  <si>
    <t xml:space="preserve">d = (2, 2.25, 1.25, 2, 8/3, 7/3)</t>
  </si>
  <si>
    <t xml:space="preserve">M5 Operators</t>
  </si>
  <si>
    <t xml:space="preserve">T3</t>
  </si>
  <si>
    <t xml:space="preserve">Laplacian spectrum, PSD, one zero eigenvalue</t>
  </si>
  <si>
    <t xml:space="preserve">{0, 0.88, 1.88, 2.61, 3.31, 3.81} (2 dp)</t>
  </si>
  <si>
    <t xml:space="preserve">T4</t>
  </si>
  <si>
    <t xml:space="preserve">P3 bridge-connected: social degree 1, fused degree 1.25, P3 not in I0</t>
  </si>
  <si>
    <t xml:space="preserve">exact</t>
  </si>
  <si>
    <t xml:space="preserve">T5</t>
  </si>
  <si>
    <t xml:space="preserve">Never-used code c4: d=0, retained in I0, L PSD, exactly 2 zero eigenvalues</t>
  </si>
  <si>
    <t xml:space="preserve">T6</t>
  </si>
  <si>
    <t xml:space="preserve">Zero-inverse convention: eig(L_sym) within [0, 2]</t>
  </si>
  <si>
    <t xml:space="preserve">bounds hold</t>
  </si>
  <si>
    <t xml:space="preserve">T7</t>
  </si>
  <si>
    <t xml:space="preserve">Epsilon convention: row of I - D_eps^-1 A at c4 -&gt; identity row as eps -&gt; 0+</t>
  </si>
  <si>
    <t xml:space="preserve">limit behavior</t>
  </si>
  <si>
    <t xml:space="preserve">T8</t>
  </si>
  <si>
    <t xml:space="preserve">Directed fixture: min eig of sym(D_out - A_dir) = -0.218 (undirected claims forbidden on A_dir)</t>
  </si>
  <si>
    <t xml:space="preserve">-0.218 (3 dp)</t>
  </si>
  <si>
    <t xml:space="preserve">T9</t>
  </si>
  <si>
    <t xml:space="preserve">P = D_out^-1 A row-stochastic on V+; spectral radius &lt;= 1</t>
  </si>
  <si>
    <t xml:space="preserve">T10</t>
  </si>
  <si>
    <t xml:space="preserve">Schoenberg on shortest-path Delta: min eig(K) = -1.637 -&gt; exact=false; rank-2 distortion 0.718; stress ~= 0.104 reported</t>
  </si>
  <si>
    <t xml:space="preserve">3 dp</t>
  </si>
  <si>
    <t xml:space="preserve">Merge</t>
  </si>
  <si>
    <t xml:space="preserve">T11</t>
  </si>
  <si>
    <t xml:space="preserve">Commute-time embedding exact: max | ||Z_u-Z_v||^2 - c(u,v) | &lt; 1e-9, all 9 person-code pairs (exclude u=v in the checker)</t>
  </si>
  <si>
    <t xml:space="preserve">&lt; 1e-9</t>
  </si>
  <si>
    <t xml:space="preserve">T12</t>
  </si>
  <si>
    <t xml:space="preserve">G slices PSD; sum_i G_i = X^T diag(P) X; window-normalized Y -&gt; offdiag equals W</t>
  </si>
  <si>
    <t xml:space="preserve">identities</t>
  </si>
  <si>
    <t xml:space="preserve">T13</t>
  </si>
  <si>
    <t xml:space="preserve">G_hat bounds: &lt;= max_t X_ta X_tb; binary X -&gt; [0,1]; zero-participation row -&gt; 0</t>
  </si>
  <si>
    <t xml:space="preserve">T14</t>
  </si>
  <si>
    <t xml:space="preserve">ADMISSIBLE_NORMALIZE axioms: N(0)=0, dims, nonnegativity, symmetry, divisor &gt; 0</t>
  </si>
  <si>
    <t xml:space="preserve">all axioms</t>
  </si>
  <si>
    <t xml:space="preserve">T15</t>
  </si>
  <si>
    <t xml:space="preserve">Scale invariance: (c_S S, alpha/c_S) leaves A_raw unchanged; log rule flagged non-invariant</t>
  </si>
  <si>
    <t xml:space="preserve">S1</t>
  </si>
  <si>
    <t xml:space="preserve">Ingest directedness: buildSocialMatrix never symmetrizes unless direction=undirected declared; directedS != S on asymmetric fixture</t>
  </si>
  <si>
    <t xml:space="preserve">behavioral</t>
  </si>
  <si>
    <t xml:space="preserve">M1/M2</t>
  </si>
  <si>
    <t xml:space="preserve">S2</t>
  </si>
  <si>
    <t xml:space="preserve">Normalization property tests (random matrices): all Def. 4 axioms per rule; scale invariance for max/frobenius</t>
  </si>
  <si>
    <t xml:space="preserve">property-based</t>
  </si>
  <si>
    <t xml:space="preserve">M3</t>
  </si>
  <si>
    <t xml:space="preserve">S3</t>
  </si>
  <si>
    <t xml:space="preserve">B weighting rule: count-based vs confidence-weighted each reproduce declared fixture</t>
  </si>
  <si>
    <t xml:space="preserve">M2</t>
  </si>
  <si>
    <t xml:space="preserve">S4</t>
  </si>
  <si>
    <t xml:space="preserve">API provenance envelope on every analysis response; JSON-schema validated; schemaVersion snapshots</t>
  </si>
  <si>
    <t xml:space="preserve">contract</t>
  </si>
  <si>
    <t xml:space="preserve">API/M11</t>
  </si>
  <si>
    <t xml:space="preserve">S5</t>
  </si>
  <si>
    <t xml:space="preserve">UI provenance e2e: distance views badge-gated; overlay always badged; export blocked without complete model card</t>
  </si>
  <si>
    <t xml:space="preserve">Playwright</t>
  </si>
  <si>
    <t xml:space="preserve">M11/UI</t>
  </si>
  <si>
    <t xml:space="preserve">S6</t>
  </si>
  <si>
    <t xml:space="preserve">Wording gate: 'contribution' strings only when X_ita registered; else association/exposure</t>
  </si>
  <si>
    <t xml:space="preserve">unit on string builders</t>
  </si>
  <si>
    <t xml:space="preserve">M7/M11</t>
  </si>
  <si>
    <t xml:space="preserve">S7</t>
  </si>
  <si>
    <t xml:space="preserve">Validation reproducibility: same seed -&gt; same p; calibration on known-null synthetic data</t>
  </si>
  <si>
    <t xml:space="preserve">statistical</t>
  </si>
  <si>
    <t xml:space="preserve">M10</t>
  </si>
  <si>
    <t xml:space="preserve">Nightly</t>
  </si>
  <si>
    <t xml:space="preserve">S8</t>
  </si>
  <si>
    <t xml:space="preserve">Security smoke: /api/ena/run gated; analysis routes 401 unauthenticated; no PII in share URLs</t>
  </si>
  <si>
    <t xml:space="preserve">security</t>
  </si>
  <si>
    <t xml:space="preserve">API</t>
  </si>
  <si>
    <t xml:space="preserve">S9</t>
  </si>
  <si>
    <t xml:space="preserve">Vendored-lib parity: jena-js / sna-js outputs match pinned reference outputs (rENA/sna) on fixture data</t>
  </si>
  <si>
    <t xml:space="preserve">parity</t>
  </si>
  <si>
    <t xml:space="preserve">vendor</t>
  </si>
  <si>
    <t xml:space="preserve">Worked-Example Golden Fixture (self-verifying)</t>
  </si>
  <si>
    <t xml:space="preserve">Source: 20260705_SENA_clean version.docx, Worked Example; independently recomputed 2026-07-07 (NumPy). Blue cells = inputs. A_fusion, degrees and checks are live formulas.</t>
  </si>
  <si>
    <t xml:space="preserve">Layer weights (declared)</t>
  </si>
  <si>
    <t xml:space="preserve">alpha</t>
  </si>
  <si>
    <t xml:space="preserve">beta</t>
  </si>
  <si>
    <t xml:space="preserve">gamma</t>
  </si>
  <si>
    <t xml:space="preserve">S (raw, persons P1-P3)</t>
  </si>
  <si>
    <t xml:space="preserve">W (raw, codes c1-c3)</t>
  </si>
  <si>
    <t xml:space="preserve">B (raw, persons x codes)</t>
  </si>
  <si>
    <t xml:space="preserve">Divisors (max rule)</t>
  </si>
  <si>
    <t xml:space="preserve">div S</t>
  </si>
  <si>
    <t xml:space="preserve">div W</t>
  </si>
  <si>
    <t xml:space="preserve">div B</t>
  </si>
  <si>
    <t xml:space="preserve">A_fusion (live formulas)</t>
  </si>
  <si>
    <t xml:space="preserve">P1</t>
  </si>
  <si>
    <t xml:space="preserve">P2</t>
  </si>
  <si>
    <t xml:space="preserve">P3</t>
  </si>
  <si>
    <t xml:space="preserve">c1</t>
  </si>
  <si>
    <t xml:space="preserve">c2</t>
  </si>
  <si>
    <t xml:space="preserve">c3</t>
  </si>
  <si>
    <t xml:space="preserve">degree (SUM)</t>
  </si>
  <si>
    <t xml:space="preserve">expected</t>
  </si>
  <si>
    <t xml:space="preserve">check</t>
  </si>
  <si>
    <t xml:space="preserve">Symmetry check</t>
  </si>
  <si>
    <t xml:space="preserve">max |A - A^T|</t>
  </si>
  <si>
    <t xml:space="preserve">Reference constants (cannot be computed by spreadsheet formulas - verify in code)</t>
  </si>
  <si>
    <t xml:space="preserve">Quantity</t>
  </si>
  <si>
    <t xml:space="preserve">Expected</t>
  </si>
  <si>
    <t xml:space="preserve">eig(L), L = D - A</t>
  </si>
  <si>
    <t xml:space="preserve">{0, 0.88, 1.88, 2.61, 3.31, 3.81} (2 dp), PSD, one zero</t>
  </si>
  <si>
    <t xml:space="preserve">min eig(K), shortest-path delta (length = 1/weight)</t>
  </si>
  <si>
    <t xml:space="preserve">-1.637 (3 dp) -&gt; Euclidean embedding impossible</t>
  </si>
  <si>
    <t xml:space="preserve">rank-2 classical MDS max distortion / stress</t>
  </si>
  <si>
    <t xml:space="preserve">0.718 / ~0.104 (3 dp)</t>
  </si>
  <si>
    <t xml:space="preserve">commute-time embedding exactness (u != v)</t>
  </si>
  <si>
    <t xml:space="preserve">&lt; 1e-9 (reproduced at ~1e-13)</t>
  </si>
  <si>
    <t xml:space="preserve">directed fixture min eig of sym(D_out - A_dir)</t>
  </si>
  <si>
    <t xml:space="preserve">-0.218 (plan-provided fixture)</t>
  </si>
  <si>
    <t xml:space="preserve">Definition of Done - next proof-of-concept stage</t>
  </si>
  <si>
    <t xml:space="preserve">v1.0 - 2026-07-07 - The site is ready for the next PoC stage when every row below is Verified. Rows 1-10 restate the advisory's minimum conditions; 11-12 add the spec's Cor. 2 and the ethics baseline.</t>
  </si>
  <si>
    <t xml:space="preserve">Condition</t>
  </si>
  <si>
    <t xml:space="preserve">How verified</t>
  </si>
  <si>
    <t xml:space="preserve">Status</t>
  </si>
  <si>
    <t xml:space="preserve">DoD-1</t>
  </si>
  <si>
    <t xml:space="preserve">Every displayed quantity (coordinates, distances, centralities, deltas, heatmaps) is computed from A_fusion or A_fusion^dir under declared conventions</t>
  </si>
  <si>
    <t xml:space="preserve">Trace each view to its provenance record; e2e test S5</t>
  </si>
  <si>
    <t xml:space="preserve">Open</t>
  </si>
  <si>
    <t xml:space="preserve">DoD-2</t>
  </si>
  <si>
    <t xml:space="preserve">Every graph operator carries a declared convention (self-loops, zero-degree, directed handling) in provenance and model card</t>
  </si>
  <si>
    <t xml:space="preserve">Provenance schema validation S4</t>
  </si>
  <si>
    <t xml:space="preserve">DoD-3</t>
  </si>
  <si>
    <t xml:space="preserve">Every cross-type (person-code) distance display carries operator, delta, d, seed and metric_exact flag; stress/strain when approximate</t>
  </si>
  <si>
    <t xml:space="preserve">Badge e2e + T10/T11</t>
  </si>
  <si>
    <t xml:space="preserve">DoD-4</t>
  </si>
  <si>
    <t xml:space="preserve">The 15 golden tests pass in CI on every release; nightly runs the full 47-check verification suite</t>
  </si>
  <si>
    <t xml:space="preserve">CI dashboards</t>
  </si>
  <si>
    <t xml:space="preserve">DoD-5</t>
  </si>
  <si>
    <t xml:space="preserve">No silent symmetrization: directed data preserved end-to-end; symmetrization is a declared, permanently badged choice</t>
  </si>
  <si>
    <t xml:space="preserve">S1 + badge e2e</t>
  </si>
  <si>
    <t xml:space="preserve">DoD-6</t>
  </si>
  <si>
    <t xml:space="preserve">No silent deletion of isolated vertices: I0 registry populated, retained in reports, visible (dimmed) in views</t>
  </si>
  <si>
    <t xml:space="preserve">T4/T5 + UI e2e</t>
  </si>
  <si>
    <t xml:space="preserve">DoD-7</t>
  </si>
  <si>
    <t xml:space="preserve">No mixed-type centrality ranking without type labels; four typed families exposed separately</t>
  </si>
  <si>
    <t xml:space="preserve">Contract test (M8)</t>
  </si>
  <si>
    <t xml:space="preserve">DoD-8</t>
  </si>
  <si>
    <t xml:space="preserve">No attribution wording stronger than the evidence: association/exposure default; contribution only with person-specific evidence (X_ita)</t>
  </si>
  <si>
    <t xml:space="preserve">Wording-gate test S6</t>
  </si>
  <si>
    <t xml:space="preserve">DoD-9</t>
  </si>
  <si>
    <t xml:space="preserve">Model card (items 1-10) attached to every rendered figure, export and share link; rendering blocked when incomplete</t>
  </si>
  <si>
    <t xml:space="preserve">Render-block e2e</t>
  </si>
  <si>
    <t xml:space="preserve">DoD-10</t>
  </si>
  <si>
    <t xml:space="preserve">Validation results (permutation/bootstrap p-values, CIs) reproducible from recorded seeds</t>
  </si>
  <si>
    <t xml:space="preserve">S7 reproducibility</t>
  </si>
  <si>
    <t xml:space="preserve">DoD-11</t>
  </si>
  <si>
    <t xml:space="preserve">alpha, beta, gamma interpreted only relative to the declared normalization rule; disclosed together everywhere they appear</t>
  </si>
  <si>
    <t xml:space="preserve">T14/T15 + card check</t>
  </si>
  <si>
    <t xml:space="preserve">DoD-12</t>
  </si>
  <si>
    <t xml:space="preserve">Legal/ethics baseline: real Privacy/Terms/Security pages live; /api/ena/run gated; datasets pseudonymized with consent metadata before real-data beta</t>
  </si>
  <si>
    <t xml:space="preserve">Manual + S8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</si>
</sst>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D966"/>
        <bgColor rgb="FFFFFF99"/>
      </patternFill>
    </fill>
    <fill>
      <patternFill patternType="solid">
        <fgColor rgb="FFA9D08E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5" min="4" style="0" width="42"/>
    <col collapsed="false" customWidth="true" hidden="false" outlineLevel="0" max="6" min="6" style="0" width="16"/>
    <col collapsed="false" customWidth="true" hidden="false" outlineLevel="0" max="7" min="7" style="0" width="46"/>
    <col collapsed="false" customWidth="true" hidden="false" outlineLevel="0" max="8" min="8" style="0" width="7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46.25" hidden="false" customHeight="false" outlineLevel="0" collapsed="false">
      <c r="A4" s="4" t="s">
        <v>11</v>
      </c>
      <c r="B4" s="5" t="s">
        <v>12</v>
      </c>
      <c r="C4" s="6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4" t="s">
        <v>18</v>
      </c>
      <c r="I4" s="4" t="s">
        <v>19</v>
      </c>
    </row>
    <row r="5" customFormat="false" ht="35.05" hidden="false" customHeight="false" outlineLevel="0" collapsed="false">
      <c r="A5" s="4" t="s">
        <v>20</v>
      </c>
      <c r="B5" s="5" t="s">
        <v>21</v>
      </c>
      <c r="C5" s="6" t="s">
        <v>13</v>
      </c>
      <c r="D5" s="5" t="s">
        <v>22</v>
      </c>
      <c r="E5" s="5" t="s">
        <v>23</v>
      </c>
      <c r="F5" s="5" t="s">
        <v>24</v>
      </c>
      <c r="G5" s="5" t="s">
        <v>25</v>
      </c>
      <c r="H5" s="4" t="s">
        <v>18</v>
      </c>
      <c r="I5" s="4" t="s">
        <v>19</v>
      </c>
    </row>
    <row r="6" customFormat="false" ht="35.05" hidden="false" customHeight="false" outlineLevel="0" collapsed="false">
      <c r="A6" s="4" t="s">
        <v>26</v>
      </c>
      <c r="B6" s="5" t="s">
        <v>27</v>
      </c>
      <c r="C6" s="6" t="s">
        <v>13</v>
      </c>
      <c r="D6" s="5" t="s">
        <v>28</v>
      </c>
      <c r="E6" s="5" t="s">
        <v>29</v>
      </c>
      <c r="F6" s="5" t="s">
        <v>30</v>
      </c>
      <c r="G6" s="5" t="s">
        <v>31</v>
      </c>
      <c r="H6" s="4" t="s">
        <v>32</v>
      </c>
      <c r="I6" s="4" t="s">
        <v>19</v>
      </c>
    </row>
    <row r="7" customFormat="false" ht="35.05" hidden="false" customHeight="false" outlineLevel="0" collapsed="false">
      <c r="A7" s="4" t="s">
        <v>33</v>
      </c>
      <c r="B7" s="5" t="s">
        <v>34</v>
      </c>
      <c r="C7" s="7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4" t="s">
        <v>40</v>
      </c>
      <c r="I7" s="4" t="s">
        <v>19</v>
      </c>
    </row>
    <row r="8" customFormat="false" ht="46.25" hidden="false" customHeight="false" outlineLevel="0" collapsed="false">
      <c r="A8" s="4" t="s">
        <v>41</v>
      </c>
      <c r="B8" s="5" t="s">
        <v>42</v>
      </c>
      <c r="C8" s="7" t="s">
        <v>35</v>
      </c>
      <c r="D8" s="5" t="s">
        <v>43</v>
      </c>
      <c r="E8" s="5" t="s">
        <v>44</v>
      </c>
      <c r="F8" s="5" t="s">
        <v>45</v>
      </c>
      <c r="G8" s="5" t="s">
        <v>46</v>
      </c>
      <c r="H8" s="4" t="s">
        <v>40</v>
      </c>
      <c r="I8" s="4" t="s">
        <v>19</v>
      </c>
    </row>
    <row r="9" customFormat="false" ht="35.05" hidden="false" customHeight="false" outlineLevel="0" collapsed="false">
      <c r="A9" s="4" t="s">
        <v>47</v>
      </c>
      <c r="B9" s="5" t="s">
        <v>48</v>
      </c>
      <c r="C9" s="7" t="s">
        <v>35</v>
      </c>
      <c r="D9" s="5" t="s">
        <v>49</v>
      </c>
      <c r="E9" s="5" t="s">
        <v>50</v>
      </c>
      <c r="F9" s="5" t="s">
        <v>51</v>
      </c>
      <c r="G9" s="5" t="s">
        <v>52</v>
      </c>
      <c r="H9" s="4" t="s">
        <v>32</v>
      </c>
      <c r="I9" s="4" t="s">
        <v>19</v>
      </c>
    </row>
    <row r="10" customFormat="false" ht="35.05" hidden="false" customHeight="false" outlineLevel="0" collapsed="false">
      <c r="A10" s="4" t="s">
        <v>53</v>
      </c>
      <c r="B10" s="5" t="s">
        <v>54</v>
      </c>
      <c r="C10" s="6" t="s">
        <v>13</v>
      </c>
      <c r="D10" s="5" t="s">
        <v>55</v>
      </c>
      <c r="E10" s="5" t="s">
        <v>56</v>
      </c>
      <c r="F10" s="5" t="s">
        <v>57</v>
      </c>
      <c r="G10" s="5" t="s">
        <v>58</v>
      </c>
      <c r="H10" s="4" t="s">
        <v>40</v>
      </c>
      <c r="I10" s="4" t="s">
        <v>19</v>
      </c>
    </row>
    <row r="11" customFormat="false" ht="35.05" hidden="false" customHeight="false" outlineLevel="0" collapsed="false">
      <c r="A11" s="4" t="s">
        <v>59</v>
      </c>
      <c r="B11" s="5" t="s">
        <v>60</v>
      </c>
      <c r="C11" s="7" t="s">
        <v>35</v>
      </c>
      <c r="D11" s="5" t="s">
        <v>61</v>
      </c>
      <c r="E11" s="5" t="s">
        <v>62</v>
      </c>
      <c r="F11" s="5" t="s">
        <v>63</v>
      </c>
      <c r="G11" s="5" t="s">
        <v>64</v>
      </c>
      <c r="H11" s="4" t="s">
        <v>32</v>
      </c>
      <c r="I11" s="4" t="s">
        <v>19</v>
      </c>
    </row>
    <row r="12" customFormat="false" ht="46.25" hidden="false" customHeight="false" outlineLevel="0" collapsed="false">
      <c r="A12" s="4" t="s">
        <v>65</v>
      </c>
      <c r="B12" s="5" t="s">
        <v>66</v>
      </c>
      <c r="C12" s="7" t="s">
        <v>35</v>
      </c>
      <c r="D12" s="5" t="s">
        <v>67</v>
      </c>
      <c r="E12" s="5" t="s">
        <v>68</v>
      </c>
      <c r="F12" s="5" t="s">
        <v>69</v>
      </c>
      <c r="G12" s="5" t="s">
        <v>70</v>
      </c>
      <c r="H12" s="4" t="s">
        <v>18</v>
      </c>
      <c r="I12" s="4" t="s">
        <v>71</v>
      </c>
    </row>
    <row r="13" customFormat="false" ht="46.25" hidden="false" customHeight="false" outlineLevel="0" collapsed="false">
      <c r="A13" s="4" t="s">
        <v>72</v>
      </c>
      <c r="B13" s="5" t="s">
        <v>73</v>
      </c>
      <c r="C13" s="7" t="s">
        <v>35</v>
      </c>
      <c r="D13" s="5" t="s">
        <v>74</v>
      </c>
      <c r="E13" s="5" t="s">
        <v>75</v>
      </c>
      <c r="F13" s="5" t="s">
        <v>76</v>
      </c>
      <c r="G13" s="5" t="s">
        <v>77</v>
      </c>
      <c r="H13" s="4" t="s">
        <v>32</v>
      </c>
      <c r="I13" s="4" t="s">
        <v>19</v>
      </c>
    </row>
    <row r="14" customFormat="false" ht="46.25" hidden="false" customHeight="false" outlineLevel="0" collapsed="false">
      <c r="A14" s="4" t="s">
        <v>78</v>
      </c>
      <c r="B14" s="5" t="s">
        <v>79</v>
      </c>
      <c r="C14" s="7" t="s">
        <v>35</v>
      </c>
      <c r="D14" s="5" t="s">
        <v>80</v>
      </c>
      <c r="E14" s="5" t="s">
        <v>81</v>
      </c>
      <c r="F14" s="5" t="s">
        <v>82</v>
      </c>
      <c r="G14" s="5" t="s">
        <v>83</v>
      </c>
      <c r="H14" s="4" t="s">
        <v>32</v>
      </c>
      <c r="I14" s="4" t="s">
        <v>19</v>
      </c>
    </row>
    <row r="15" customFormat="false" ht="35.05" hidden="false" customHeight="false" outlineLevel="0" collapsed="false">
      <c r="A15" s="4" t="s">
        <v>84</v>
      </c>
      <c r="B15" s="5" t="s">
        <v>85</v>
      </c>
      <c r="C15" s="8" t="s">
        <v>86</v>
      </c>
      <c r="D15" s="5" t="s">
        <v>87</v>
      </c>
      <c r="E15" s="5" t="s">
        <v>88</v>
      </c>
      <c r="F15" s="5" t="s">
        <v>89</v>
      </c>
      <c r="G15" s="5" t="s">
        <v>90</v>
      </c>
      <c r="H15" s="4" t="s">
        <v>40</v>
      </c>
      <c r="I15" s="4" t="s">
        <v>19</v>
      </c>
    </row>
    <row r="16" customFormat="false" ht="35.05" hidden="false" customHeight="false" outlineLevel="0" collapsed="false">
      <c r="A16" s="4" t="s">
        <v>91</v>
      </c>
      <c r="B16" s="5" t="s">
        <v>92</v>
      </c>
      <c r="C16" s="7" t="s">
        <v>35</v>
      </c>
      <c r="D16" s="5" t="s">
        <v>93</v>
      </c>
      <c r="E16" s="5" t="s">
        <v>94</v>
      </c>
      <c r="F16" s="5" t="s">
        <v>95</v>
      </c>
      <c r="G16" s="5" t="s">
        <v>96</v>
      </c>
      <c r="H16" s="4" t="s">
        <v>32</v>
      </c>
      <c r="I16" s="4" t="s">
        <v>19</v>
      </c>
    </row>
    <row r="17" customFormat="false" ht="46.25" hidden="false" customHeight="false" outlineLevel="0" collapsed="false">
      <c r="A17" s="4" t="s">
        <v>97</v>
      </c>
      <c r="B17" s="5" t="s">
        <v>98</v>
      </c>
      <c r="C17" s="7" t="s">
        <v>35</v>
      </c>
      <c r="D17" s="5" t="s">
        <v>99</v>
      </c>
      <c r="E17" s="5" t="s">
        <v>100</v>
      </c>
      <c r="F17" s="5" t="s">
        <v>101</v>
      </c>
      <c r="G17" s="5" t="s">
        <v>102</v>
      </c>
      <c r="H17" s="4" t="s">
        <v>32</v>
      </c>
      <c r="I17" s="4" t="s">
        <v>103</v>
      </c>
    </row>
    <row r="18" customFormat="false" ht="35.05" hidden="false" customHeight="false" outlineLevel="0" collapsed="false">
      <c r="A18" s="4" t="s">
        <v>104</v>
      </c>
      <c r="B18" s="5" t="s">
        <v>105</v>
      </c>
      <c r="C18" s="8" t="s">
        <v>86</v>
      </c>
      <c r="D18" s="5" t="s">
        <v>106</v>
      </c>
      <c r="E18" s="5" t="s">
        <v>107</v>
      </c>
      <c r="F18" s="5" t="s">
        <v>108</v>
      </c>
      <c r="G18" s="5" t="s">
        <v>109</v>
      </c>
      <c r="H18" s="4" t="s">
        <v>40</v>
      </c>
      <c r="I18" s="4" t="s">
        <v>19</v>
      </c>
    </row>
    <row r="19" customFormat="false" ht="35.05" hidden="false" customHeight="false" outlineLevel="0" collapsed="false">
      <c r="A19" s="4" t="s">
        <v>110</v>
      </c>
      <c r="B19" s="5" t="s">
        <v>111</v>
      </c>
      <c r="C19" s="7" t="s">
        <v>35</v>
      </c>
      <c r="D19" s="5" t="s">
        <v>112</v>
      </c>
      <c r="E19" s="5" t="s">
        <v>113</v>
      </c>
      <c r="F19" s="5" t="s">
        <v>114</v>
      </c>
      <c r="G19" s="5" t="s">
        <v>115</v>
      </c>
      <c r="H19" s="4" t="s">
        <v>40</v>
      </c>
      <c r="I19" s="4" t="s">
        <v>19</v>
      </c>
    </row>
    <row r="20" customFormat="false" ht="35.05" hidden="false" customHeight="false" outlineLevel="0" collapsed="false">
      <c r="A20" s="4" t="s">
        <v>116</v>
      </c>
      <c r="B20" s="5" t="s">
        <v>117</v>
      </c>
      <c r="C20" s="8" t="s">
        <v>86</v>
      </c>
      <c r="D20" s="5" t="s">
        <v>118</v>
      </c>
      <c r="E20" s="5" t="s">
        <v>119</v>
      </c>
      <c r="F20" s="5" t="s">
        <v>120</v>
      </c>
      <c r="G20" s="5" t="s">
        <v>121</v>
      </c>
      <c r="H20" s="4" t="s">
        <v>40</v>
      </c>
      <c r="I20" s="4" t="s">
        <v>19</v>
      </c>
    </row>
    <row r="21" customFormat="false" ht="46.25" hidden="false" customHeight="false" outlineLevel="0" collapsed="false">
      <c r="A21" s="4" t="s">
        <v>122</v>
      </c>
      <c r="B21" s="5" t="s">
        <v>123</v>
      </c>
      <c r="C21" s="8" t="s">
        <v>86</v>
      </c>
      <c r="D21" s="5" t="s">
        <v>124</v>
      </c>
      <c r="E21" s="5" t="s">
        <v>125</v>
      </c>
      <c r="F21" s="5" t="s">
        <v>126</v>
      </c>
      <c r="G21" s="5" t="s">
        <v>127</v>
      </c>
      <c r="H21" s="4" t="s">
        <v>40</v>
      </c>
      <c r="I21" s="4" t="s">
        <v>19</v>
      </c>
    </row>
    <row r="22" customFormat="false" ht="35.05" hidden="false" customHeight="false" outlineLevel="0" collapsed="false">
      <c r="A22" s="4" t="s">
        <v>128</v>
      </c>
      <c r="B22" s="5" t="s">
        <v>129</v>
      </c>
      <c r="C22" s="8" t="s">
        <v>86</v>
      </c>
      <c r="D22" s="5" t="s">
        <v>130</v>
      </c>
      <c r="E22" s="5" t="s">
        <v>131</v>
      </c>
      <c r="F22" s="5" t="s">
        <v>132</v>
      </c>
      <c r="G22" s="5" t="s">
        <v>133</v>
      </c>
      <c r="H22" s="4" t="s">
        <v>40</v>
      </c>
      <c r="I22" s="4" t="s">
        <v>19</v>
      </c>
    </row>
    <row r="23" customFormat="false" ht="35.05" hidden="false" customHeight="false" outlineLevel="0" collapsed="false">
      <c r="A23" s="4" t="s">
        <v>134</v>
      </c>
      <c r="B23" s="5" t="s">
        <v>135</v>
      </c>
      <c r="C23" s="8" t="s">
        <v>86</v>
      </c>
      <c r="D23" s="5" t="s">
        <v>136</v>
      </c>
      <c r="E23" s="5" t="s">
        <v>137</v>
      </c>
      <c r="F23" s="5" t="s">
        <v>138</v>
      </c>
      <c r="G23" s="5" t="s">
        <v>139</v>
      </c>
      <c r="H23" s="4" t="s">
        <v>32</v>
      </c>
      <c r="I23" s="4" t="s">
        <v>19</v>
      </c>
    </row>
    <row r="24" customFormat="false" ht="68.65" hidden="false" customHeight="false" outlineLevel="0" collapsed="false">
      <c r="A24" s="4" t="s">
        <v>140</v>
      </c>
      <c r="B24" s="5" t="s">
        <v>141</v>
      </c>
      <c r="C24" s="8" t="s">
        <v>86</v>
      </c>
      <c r="D24" s="5" t="s">
        <v>142</v>
      </c>
      <c r="E24" s="5" t="s">
        <v>143</v>
      </c>
      <c r="F24" s="5" t="s">
        <v>101</v>
      </c>
      <c r="G24" s="5" t="s">
        <v>144</v>
      </c>
      <c r="H24" s="4" t="s">
        <v>18</v>
      </c>
      <c r="I24" s="4" t="s">
        <v>145</v>
      </c>
    </row>
    <row r="25" customFormat="false" ht="35.05" hidden="false" customHeight="false" outlineLevel="0" collapsed="false">
      <c r="A25" s="4" t="s">
        <v>146</v>
      </c>
      <c r="B25" s="5" t="s">
        <v>147</v>
      </c>
      <c r="C25" s="9" t="s">
        <v>148</v>
      </c>
      <c r="D25" s="5" t="s">
        <v>149</v>
      </c>
      <c r="E25" s="5" t="s">
        <v>150</v>
      </c>
      <c r="F25" s="5" t="s">
        <v>151</v>
      </c>
      <c r="G25" s="5" t="s">
        <v>152</v>
      </c>
      <c r="H25" s="4" t="s">
        <v>40</v>
      </c>
      <c r="I25" s="4" t="s">
        <v>19</v>
      </c>
    </row>
    <row r="26" customFormat="false" ht="35.05" hidden="false" customHeight="false" outlineLevel="0" collapsed="false">
      <c r="A26" s="4" t="s">
        <v>153</v>
      </c>
      <c r="B26" s="5" t="s">
        <v>154</v>
      </c>
      <c r="C26" s="8" t="s">
        <v>86</v>
      </c>
      <c r="D26" s="5" t="s">
        <v>155</v>
      </c>
      <c r="E26" s="5" t="s">
        <v>156</v>
      </c>
      <c r="F26" s="5" t="s">
        <v>157</v>
      </c>
      <c r="G26" s="5" t="s">
        <v>158</v>
      </c>
      <c r="H26" s="4" t="s">
        <v>32</v>
      </c>
      <c r="I26" s="4" t="s">
        <v>19</v>
      </c>
    </row>
    <row r="28" customFormat="false" ht="15" hidden="false" customHeight="false" outlineLevel="0" collapsed="false">
      <c r="A28" s="10" t="s">
        <v>159</v>
      </c>
    </row>
    <row r="29" customFormat="false" ht="15" hidden="false" customHeight="false" outlineLevel="0" collapsed="false">
      <c r="A29" s="11" t="s">
        <v>13</v>
      </c>
      <c r="B29" s="11" t="n">
        <f aca="false">COUNTIF(C4:C26,"Critical")</f>
        <v>4</v>
      </c>
    </row>
    <row r="30" customFormat="false" ht="15" hidden="false" customHeight="false" outlineLevel="0" collapsed="false">
      <c r="A30" s="11" t="s">
        <v>35</v>
      </c>
      <c r="B30" s="11" t="n">
        <f aca="false">COUNTIF(C4:C26,"High")</f>
        <v>10</v>
      </c>
    </row>
    <row r="31" customFormat="false" ht="15" hidden="false" customHeight="false" outlineLevel="0" collapsed="false">
      <c r="A31" s="11" t="s">
        <v>86</v>
      </c>
      <c r="B31" s="11" t="n">
        <f aca="false">COUNTIF(C4:C26,"Medium")</f>
        <v>8</v>
      </c>
    </row>
    <row r="32" customFormat="false" ht="15" hidden="false" customHeight="false" outlineLevel="0" collapsed="false">
      <c r="A32" s="11" t="s">
        <v>148</v>
      </c>
      <c r="B32" s="11" t="n">
        <f aca="false">COUNTIF(C4:C26,"Low")</f>
        <v>1</v>
      </c>
    </row>
    <row r="33" customFormat="false" ht="15" hidden="false" customHeight="false" outlineLevel="0" collapsed="false">
      <c r="A33" s="10" t="s">
        <v>160</v>
      </c>
      <c r="B33" s="10" t="n">
        <f aca="false">COUNTA(A4:A26)</f>
        <v>23</v>
      </c>
    </row>
  </sheetData>
  <autoFilter ref="A3:I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24"/>
    <col collapsed="false" customWidth="true" hidden="false" outlineLevel="0" max="7" min="6" style="0" width="38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3" customFormat="false" ht="15" hidden="false" customHeight="false" outlineLevel="0" collapsed="false">
      <c r="A3" s="3" t="s">
        <v>163</v>
      </c>
      <c r="B3" s="3" t="s">
        <v>164</v>
      </c>
      <c r="C3" s="3" t="s">
        <v>165</v>
      </c>
      <c r="D3" s="3" t="s">
        <v>166</v>
      </c>
      <c r="E3" s="3" t="s">
        <v>167</v>
      </c>
      <c r="F3" s="3" t="s">
        <v>168</v>
      </c>
      <c r="G3" s="3" t="s">
        <v>169</v>
      </c>
    </row>
    <row r="4" customFormat="false" ht="57.45" hidden="false" customHeight="false" outlineLevel="0" collapsed="false">
      <c r="A4" s="5" t="s">
        <v>170</v>
      </c>
      <c r="B4" s="4" t="s">
        <v>171</v>
      </c>
      <c r="C4" s="5" t="s">
        <v>172</v>
      </c>
      <c r="D4" s="5" t="s">
        <v>173</v>
      </c>
      <c r="E4" s="5" t="s">
        <v>174</v>
      </c>
      <c r="F4" s="5" t="s">
        <v>175</v>
      </c>
      <c r="G4" s="5" t="s">
        <v>176</v>
      </c>
    </row>
    <row r="5" customFormat="false" ht="68.65" hidden="false" customHeight="false" outlineLevel="0" collapsed="false">
      <c r="A5" s="5" t="s">
        <v>177</v>
      </c>
      <c r="B5" s="4" t="s">
        <v>178</v>
      </c>
      <c r="C5" s="5" t="s">
        <v>179</v>
      </c>
      <c r="D5" s="5" t="s">
        <v>180</v>
      </c>
      <c r="E5" s="5" t="s">
        <v>181</v>
      </c>
      <c r="F5" s="5" t="s">
        <v>182</v>
      </c>
      <c r="G5" s="5" t="s">
        <v>183</v>
      </c>
    </row>
    <row r="6" customFormat="false" ht="57.45" hidden="false" customHeight="false" outlineLevel="0" collapsed="false">
      <c r="A6" s="5" t="s">
        <v>184</v>
      </c>
      <c r="B6" s="4" t="s">
        <v>185</v>
      </c>
      <c r="C6" s="5" t="s">
        <v>186</v>
      </c>
      <c r="D6" s="5" t="s">
        <v>187</v>
      </c>
      <c r="E6" s="5" t="s">
        <v>188</v>
      </c>
      <c r="F6" s="5" t="s">
        <v>189</v>
      </c>
      <c r="G6" s="5" t="s">
        <v>190</v>
      </c>
    </row>
    <row r="7" customFormat="false" ht="57.45" hidden="false" customHeight="false" outlineLevel="0" collapsed="false">
      <c r="A7" s="5" t="s">
        <v>191</v>
      </c>
      <c r="B7" s="4" t="s">
        <v>192</v>
      </c>
      <c r="C7" s="5" t="s">
        <v>193</v>
      </c>
      <c r="D7" s="5" t="s">
        <v>194</v>
      </c>
      <c r="E7" s="5" t="s">
        <v>195</v>
      </c>
      <c r="F7" s="5" t="s">
        <v>196</v>
      </c>
      <c r="G7" s="5" t="s">
        <v>197</v>
      </c>
    </row>
    <row r="8" customFormat="false" ht="68.65" hidden="false" customHeight="false" outlineLevel="0" collapsed="false">
      <c r="A8" s="5" t="s">
        <v>198</v>
      </c>
      <c r="B8" s="4" t="s">
        <v>199</v>
      </c>
      <c r="C8" s="5" t="s">
        <v>200</v>
      </c>
      <c r="D8" s="5" t="s">
        <v>201</v>
      </c>
      <c r="E8" s="5" t="s">
        <v>202</v>
      </c>
      <c r="F8" s="5" t="s">
        <v>203</v>
      </c>
      <c r="G8" s="5" t="s">
        <v>204</v>
      </c>
    </row>
    <row r="9" customFormat="false" ht="46.25" hidden="false" customHeight="false" outlineLevel="0" collapsed="false">
      <c r="A9" s="5" t="s">
        <v>205</v>
      </c>
      <c r="B9" s="4" t="s">
        <v>206</v>
      </c>
      <c r="C9" s="5" t="s">
        <v>207</v>
      </c>
      <c r="D9" s="5" t="s">
        <v>208</v>
      </c>
      <c r="E9" s="5" t="s">
        <v>209</v>
      </c>
      <c r="F9" s="5" t="s">
        <v>210</v>
      </c>
      <c r="G9" s="5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">
        <v>213</v>
      </c>
    </row>
    <row r="3" customFormat="false" ht="15" hidden="false" customHeight="false" outlineLevel="0" collapsed="false">
      <c r="A3" s="3" t="s">
        <v>2</v>
      </c>
      <c r="B3" s="3" t="s">
        <v>214</v>
      </c>
      <c r="C3" s="3" t="s">
        <v>215</v>
      </c>
      <c r="D3" s="3" t="s">
        <v>216</v>
      </c>
      <c r="E3" s="3" t="s">
        <v>217</v>
      </c>
      <c r="F3" s="3" t="s">
        <v>218</v>
      </c>
    </row>
    <row r="4" customFormat="false" ht="15" hidden="false" customHeight="false" outlineLevel="0" collapsed="false">
      <c r="A4" s="4" t="s">
        <v>219</v>
      </c>
      <c r="B4" s="5" t="s">
        <v>220</v>
      </c>
      <c r="C4" s="5" t="s">
        <v>221</v>
      </c>
      <c r="D4" s="4" t="s">
        <v>222</v>
      </c>
      <c r="E4" s="4" t="s">
        <v>223</v>
      </c>
      <c r="F4" s="4" t="s">
        <v>224</v>
      </c>
    </row>
    <row r="5" customFormat="false" ht="15" hidden="false" customHeight="false" outlineLevel="0" collapsed="false">
      <c r="A5" s="4" t="s">
        <v>225</v>
      </c>
      <c r="B5" s="5" t="s">
        <v>226</v>
      </c>
      <c r="C5" s="5" t="s">
        <v>227</v>
      </c>
      <c r="D5" s="4" t="s">
        <v>228</v>
      </c>
      <c r="E5" s="4" t="s">
        <v>223</v>
      </c>
      <c r="F5" s="4" t="s">
        <v>224</v>
      </c>
    </row>
    <row r="6" customFormat="false" ht="23.85" hidden="false" customHeight="false" outlineLevel="0" collapsed="false">
      <c r="A6" s="4" t="s">
        <v>229</v>
      </c>
      <c r="B6" s="5" t="s">
        <v>230</v>
      </c>
      <c r="C6" s="5" t="s">
        <v>231</v>
      </c>
      <c r="D6" s="4" t="s">
        <v>228</v>
      </c>
      <c r="E6" s="4" t="s">
        <v>223</v>
      </c>
      <c r="F6" s="4" t="s">
        <v>224</v>
      </c>
    </row>
    <row r="7" customFormat="false" ht="15" hidden="false" customHeight="false" outlineLevel="0" collapsed="false">
      <c r="A7" s="4" t="s">
        <v>232</v>
      </c>
      <c r="B7" s="5" t="s">
        <v>233</v>
      </c>
      <c r="C7" s="5" t="s">
        <v>234</v>
      </c>
      <c r="D7" s="4" t="s">
        <v>228</v>
      </c>
      <c r="E7" s="4" t="s">
        <v>223</v>
      </c>
      <c r="F7" s="4" t="s">
        <v>224</v>
      </c>
    </row>
    <row r="8" customFormat="false" ht="15" hidden="false" customHeight="false" outlineLevel="0" collapsed="false">
      <c r="A8" s="4" t="s">
        <v>235</v>
      </c>
      <c r="B8" s="5" t="s">
        <v>236</v>
      </c>
      <c r="C8" s="5" t="s">
        <v>234</v>
      </c>
      <c r="D8" s="4" t="s">
        <v>228</v>
      </c>
      <c r="E8" s="4" t="s">
        <v>223</v>
      </c>
      <c r="F8" s="4" t="s">
        <v>224</v>
      </c>
    </row>
    <row r="9" customFormat="false" ht="15" hidden="false" customHeight="false" outlineLevel="0" collapsed="false">
      <c r="A9" s="4" t="s">
        <v>237</v>
      </c>
      <c r="B9" s="5" t="s">
        <v>238</v>
      </c>
      <c r="C9" s="5" t="s">
        <v>239</v>
      </c>
      <c r="D9" s="4" t="s">
        <v>228</v>
      </c>
      <c r="E9" s="4" t="s">
        <v>223</v>
      </c>
      <c r="F9" s="4" t="s">
        <v>224</v>
      </c>
    </row>
    <row r="10" customFormat="false" ht="15" hidden="false" customHeight="false" outlineLevel="0" collapsed="false">
      <c r="A10" s="4" t="s">
        <v>240</v>
      </c>
      <c r="B10" s="5" t="s">
        <v>241</v>
      </c>
      <c r="C10" s="5" t="s">
        <v>242</v>
      </c>
      <c r="D10" s="4" t="s">
        <v>228</v>
      </c>
      <c r="E10" s="4" t="s">
        <v>223</v>
      </c>
      <c r="F10" s="4" t="s">
        <v>224</v>
      </c>
    </row>
    <row r="11" customFormat="false" ht="23.85" hidden="false" customHeight="false" outlineLevel="0" collapsed="false">
      <c r="A11" s="4" t="s">
        <v>243</v>
      </c>
      <c r="B11" s="5" t="s">
        <v>244</v>
      </c>
      <c r="C11" s="5" t="s">
        <v>245</v>
      </c>
      <c r="D11" s="4" t="s">
        <v>228</v>
      </c>
      <c r="E11" s="4" t="s">
        <v>223</v>
      </c>
      <c r="F11" s="4" t="s">
        <v>224</v>
      </c>
    </row>
    <row r="12" customFormat="false" ht="15" hidden="false" customHeight="false" outlineLevel="0" collapsed="false">
      <c r="A12" s="4" t="s">
        <v>246</v>
      </c>
      <c r="B12" s="5" t="s">
        <v>247</v>
      </c>
      <c r="C12" s="5" t="s">
        <v>239</v>
      </c>
      <c r="D12" s="4" t="s">
        <v>228</v>
      </c>
      <c r="E12" s="4" t="s">
        <v>223</v>
      </c>
      <c r="F12" s="4" t="s">
        <v>224</v>
      </c>
    </row>
    <row r="13" customFormat="false" ht="23.85" hidden="false" customHeight="false" outlineLevel="0" collapsed="false">
      <c r="A13" s="4" t="s">
        <v>248</v>
      </c>
      <c r="B13" s="5" t="s">
        <v>249</v>
      </c>
      <c r="C13" s="5" t="s">
        <v>250</v>
      </c>
      <c r="D13" s="4" t="s">
        <v>24</v>
      </c>
      <c r="E13" s="4" t="s">
        <v>251</v>
      </c>
      <c r="F13" s="4" t="s">
        <v>224</v>
      </c>
    </row>
    <row r="14" customFormat="false" ht="23.85" hidden="false" customHeight="false" outlineLevel="0" collapsed="false">
      <c r="A14" s="4" t="s">
        <v>252</v>
      </c>
      <c r="B14" s="5" t="s">
        <v>253</v>
      </c>
      <c r="C14" s="5" t="s">
        <v>254</v>
      </c>
      <c r="D14" s="4" t="s">
        <v>24</v>
      </c>
      <c r="E14" s="4" t="s">
        <v>251</v>
      </c>
      <c r="F14" s="4" t="s">
        <v>224</v>
      </c>
    </row>
    <row r="15" customFormat="false" ht="23.85" hidden="false" customHeight="false" outlineLevel="0" collapsed="false">
      <c r="A15" s="4" t="s">
        <v>255</v>
      </c>
      <c r="B15" s="5" t="s">
        <v>256</v>
      </c>
      <c r="C15" s="5" t="s">
        <v>257</v>
      </c>
      <c r="D15" s="4" t="s">
        <v>82</v>
      </c>
      <c r="E15" s="4" t="s">
        <v>223</v>
      </c>
      <c r="F15" s="4" t="s">
        <v>224</v>
      </c>
    </row>
    <row r="16" customFormat="false" ht="15" hidden="false" customHeight="false" outlineLevel="0" collapsed="false">
      <c r="A16" s="4" t="s">
        <v>258</v>
      </c>
      <c r="B16" s="5" t="s">
        <v>259</v>
      </c>
      <c r="C16" s="5" t="s">
        <v>239</v>
      </c>
      <c r="D16" s="4" t="s">
        <v>82</v>
      </c>
      <c r="E16" s="4" t="s">
        <v>223</v>
      </c>
      <c r="F16" s="4" t="s">
        <v>224</v>
      </c>
    </row>
    <row r="17" customFormat="false" ht="23.85" hidden="false" customHeight="false" outlineLevel="0" collapsed="false">
      <c r="A17" s="4" t="s">
        <v>260</v>
      </c>
      <c r="B17" s="5" t="s">
        <v>261</v>
      </c>
      <c r="C17" s="5" t="s">
        <v>262</v>
      </c>
      <c r="D17" s="4" t="s">
        <v>45</v>
      </c>
      <c r="E17" s="4" t="s">
        <v>223</v>
      </c>
      <c r="F17" s="4" t="s">
        <v>224</v>
      </c>
    </row>
    <row r="18" customFormat="false" ht="23.85" hidden="false" customHeight="false" outlineLevel="0" collapsed="false">
      <c r="A18" s="4" t="s">
        <v>263</v>
      </c>
      <c r="B18" s="5" t="s">
        <v>264</v>
      </c>
      <c r="C18" s="5" t="s">
        <v>234</v>
      </c>
      <c r="D18" s="4" t="s">
        <v>45</v>
      </c>
      <c r="E18" s="4" t="s">
        <v>223</v>
      </c>
      <c r="F18" s="4" t="s">
        <v>224</v>
      </c>
    </row>
    <row r="19" customFormat="false" ht="23.85" hidden="false" customHeight="false" outlineLevel="0" collapsed="false">
      <c r="A19" s="4" t="s">
        <v>265</v>
      </c>
      <c r="B19" s="5" t="s">
        <v>266</v>
      </c>
      <c r="C19" s="5" t="s">
        <v>267</v>
      </c>
      <c r="D19" s="4" t="s">
        <v>268</v>
      </c>
      <c r="E19" s="4" t="s">
        <v>223</v>
      </c>
      <c r="F19" s="4" t="s">
        <v>224</v>
      </c>
    </row>
    <row r="20" customFormat="false" ht="23.85" hidden="false" customHeight="false" outlineLevel="0" collapsed="false">
      <c r="A20" s="4" t="s">
        <v>269</v>
      </c>
      <c r="B20" s="5" t="s">
        <v>270</v>
      </c>
      <c r="C20" s="5" t="s">
        <v>271</v>
      </c>
      <c r="D20" s="4" t="s">
        <v>272</v>
      </c>
      <c r="E20" s="4" t="s">
        <v>223</v>
      </c>
      <c r="F20" s="4" t="s">
        <v>224</v>
      </c>
    </row>
    <row r="21" customFormat="false" ht="23.85" hidden="false" customHeight="false" outlineLevel="0" collapsed="false">
      <c r="A21" s="4" t="s">
        <v>273</v>
      </c>
      <c r="B21" s="5" t="s">
        <v>274</v>
      </c>
      <c r="C21" s="5" t="s">
        <v>267</v>
      </c>
      <c r="D21" s="4" t="s">
        <v>275</v>
      </c>
      <c r="E21" s="4" t="s">
        <v>223</v>
      </c>
      <c r="F21" s="4" t="s">
        <v>224</v>
      </c>
    </row>
    <row r="22" customFormat="false" ht="23.85" hidden="false" customHeight="false" outlineLevel="0" collapsed="false">
      <c r="A22" s="4" t="s">
        <v>276</v>
      </c>
      <c r="B22" s="5" t="s">
        <v>277</v>
      </c>
      <c r="C22" s="5" t="s">
        <v>278</v>
      </c>
      <c r="D22" s="4" t="s">
        <v>279</v>
      </c>
      <c r="E22" s="4" t="s">
        <v>223</v>
      </c>
      <c r="F22" s="4" t="s">
        <v>224</v>
      </c>
    </row>
    <row r="23" customFormat="false" ht="23.85" hidden="false" customHeight="false" outlineLevel="0" collapsed="false">
      <c r="A23" s="4" t="s">
        <v>280</v>
      </c>
      <c r="B23" s="5" t="s">
        <v>281</v>
      </c>
      <c r="C23" s="5" t="s">
        <v>282</v>
      </c>
      <c r="D23" s="4" t="s">
        <v>283</v>
      </c>
      <c r="E23" s="4" t="s">
        <v>251</v>
      </c>
      <c r="F23" s="4" t="s">
        <v>224</v>
      </c>
    </row>
    <row r="24" customFormat="false" ht="23.85" hidden="false" customHeight="false" outlineLevel="0" collapsed="false">
      <c r="A24" s="4" t="s">
        <v>284</v>
      </c>
      <c r="B24" s="5" t="s">
        <v>285</v>
      </c>
      <c r="C24" s="5" t="s">
        <v>286</v>
      </c>
      <c r="D24" s="4" t="s">
        <v>287</v>
      </c>
      <c r="E24" s="4" t="s">
        <v>223</v>
      </c>
      <c r="F24" s="4" t="s">
        <v>224</v>
      </c>
    </row>
    <row r="25" customFormat="false" ht="23.85" hidden="false" customHeight="false" outlineLevel="0" collapsed="false">
      <c r="A25" s="4" t="s">
        <v>288</v>
      </c>
      <c r="B25" s="5" t="s">
        <v>289</v>
      </c>
      <c r="C25" s="5" t="s">
        <v>290</v>
      </c>
      <c r="D25" s="4" t="s">
        <v>291</v>
      </c>
      <c r="E25" s="4" t="s">
        <v>292</v>
      </c>
      <c r="F25" s="4" t="s">
        <v>224</v>
      </c>
    </row>
    <row r="26" customFormat="false" ht="23.85" hidden="false" customHeight="false" outlineLevel="0" collapsed="false">
      <c r="A26" s="4" t="s">
        <v>293</v>
      </c>
      <c r="B26" s="5" t="s">
        <v>294</v>
      </c>
      <c r="C26" s="5" t="s">
        <v>295</v>
      </c>
      <c r="D26" s="4" t="s">
        <v>296</v>
      </c>
      <c r="E26" s="4" t="s">
        <v>251</v>
      </c>
      <c r="F26" s="4" t="s">
        <v>224</v>
      </c>
    </row>
    <row r="27" customFormat="false" ht="23.85" hidden="false" customHeight="false" outlineLevel="0" collapsed="false">
      <c r="A27" s="4" t="s">
        <v>297</v>
      </c>
      <c r="B27" s="5" t="s">
        <v>298</v>
      </c>
      <c r="C27" s="5" t="s">
        <v>299</v>
      </c>
      <c r="D27" s="4" t="s">
        <v>300</v>
      </c>
      <c r="E27" s="4" t="s">
        <v>292</v>
      </c>
      <c r="F27" s="4" t="s">
        <v>224</v>
      </c>
    </row>
  </sheetData>
  <autoFilter ref="A3:F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9"/>
    <col collapsed="false" customWidth="true" hidden="false" outlineLevel="0" max="12" min="10" style="0" width="11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2" t="s">
        <v>302</v>
      </c>
    </row>
    <row r="4" customFormat="false" ht="15" hidden="false" customHeight="false" outlineLevel="0" collapsed="false">
      <c r="A4" s="10" t="s">
        <v>303</v>
      </c>
    </row>
    <row r="5" customFormat="false" ht="15" hidden="false" customHeight="false" outlineLevel="0" collapsed="false">
      <c r="A5" s="11" t="s">
        <v>304</v>
      </c>
      <c r="B5" s="12" t="n">
        <v>1</v>
      </c>
    </row>
    <row r="6" customFormat="false" ht="15" hidden="false" customHeight="false" outlineLevel="0" collapsed="false">
      <c r="A6" s="11" t="s">
        <v>305</v>
      </c>
      <c r="B6" s="12" t="n">
        <v>1</v>
      </c>
    </row>
    <row r="7" customFormat="false" ht="15" hidden="false" customHeight="false" outlineLevel="0" collapsed="false">
      <c r="A7" s="11" t="s">
        <v>306</v>
      </c>
      <c r="B7" s="12" t="n">
        <v>1</v>
      </c>
    </row>
    <row r="9" customFormat="false" ht="15" hidden="false" customHeight="false" outlineLevel="0" collapsed="false">
      <c r="A9" s="10" t="s">
        <v>307</v>
      </c>
      <c r="F9" s="10" t="s">
        <v>308</v>
      </c>
    </row>
    <row r="10" customFormat="false" ht="15" hidden="false" customHeight="false" outlineLevel="0" collapsed="false">
      <c r="B10" s="12" t="n">
        <v>0</v>
      </c>
      <c r="C10" s="12" t="n">
        <v>4</v>
      </c>
      <c r="D10" s="12" t="n">
        <v>0</v>
      </c>
      <c r="G10" s="12" t="n">
        <v>0</v>
      </c>
      <c r="H10" s="12" t="n">
        <v>3</v>
      </c>
      <c r="I10" s="12" t="n">
        <v>1</v>
      </c>
    </row>
    <row r="11" customFormat="false" ht="15" hidden="false" customHeight="false" outlineLevel="0" collapsed="false">
      <c r="B11" s="12" t="n">
        <v>4</v>
      </c>
      <c r="C11" s="12" t="n">
        <v>0</v>
      </c>
      <c r="D11" s="12" t="n">
        <v>1</v>
      </c>
      <c r="G11" s="12" t="n">
        <v>3</v>
      </c>
      <c r="H11" s="12" t="n">
        <v>0</v>
      </c>
      <c r="I11" s="12" t="n">
        <v>2</v>
      </c>
    </row>
    <row r="12" customFormat="false" ht="15" hidden="false" customHeight="false" outlineLevel="0" collapsed="false">
      <c r="B12" s="12" t="n">
        <v>0</v>
      </c>
      <c r="C12" s="12" t="n">
        <v>1</v>
      </c>
      <c r="D12" s="12" t="n">
        <v>0</v>
      </c>
      <c r="G12" s="12" t="n">
        <v>1</v>
      </c>
      <c r="H12" s="12" t="n">
        <v>2</v>
      </c>
      <c r="I12" s="12" t="n">
        <v>0</v>
      </c>
    </row>
    <row r="14" customFormat="false" ht="15" hidden="false" customHeight="false" outlineLevel="0" collapsed="false">
      <c r="A14" s="10" t="s">
        <v>309</v>
      </c>
    </row>
    <row r="15" customFormat="false" ht="15" hidden="false" customHeight="false" outlineLevel="0" collapsed="false">
      <c r="B15" s="12" t="n">
        <v>2</v>
      </c>
      <c r="C15" s="12" t="n">
        <v>1</v>
      </c>
      <c r="D15" s="12" t="n">
        <v>0</v>
      </c>
    </row>
    <row r="16" customFormat="false" ht="15" hidden="false" customHeight="false" outlineLevel="0" collapsed="false">
      <c r="B16" s="12" t="n">
        <v>0</v>
      </c>
      <c r="C16" s="12" t="n">
        <v>2</v>
      </c>
      <c r="D16" s="12" t="n">
        <v>1</v>
      </c>
    </row>
    <row r="17" customFormat="false" ht="15" hidden="false" customHeight="false" outlineLevel="0" collapsed="false">
      <c r="B17" s="12" t="n">
        <v>0</v>
      </c>
      <c r="C17" s="12" t="n">
        <v>0</v>
      </c>
      <c r="D17" s="12" t="n">
        <v>3</v>
      </c>
    </row>
    <row r="19" customFormat="false" ht="15" hidden="false" customHeight="false" outlineLevel="0" collapsed="false">
      <c r="A19" s="10" t="s">
        <v>310</v>
      </c>
    </row>
    <row r="20" customFormat="false" ht="15" hidden="false" customHeight="false" outlineLevel="0" collapsed="false">
      <c r="A20" s="11" t="s">
        <v>311</v>
      </c>
      <c r="B20" s="11" t="n">
        <f aca="false">MAX(B10:D12)</f>
        <v>4</v>
      </c>
    </row>
    <row r="21" customFormat="false" ht="15" hidden="false" customHeight="false" outlineLevel="0" collapsed="false">
      <c r="A21" s="11" t="s">
        <v>312</v>
      </c>
      <c r="B21" s="11" t="n">
        <f aca="false">MAX(G10:I12)</f>
        <v>3</v>
      </c>
    </row>
    <row r="22" customFormat="false" ht="15" hidden="false" customHeight="false" outlineLevel="0" collapsed="false">
      <c r="A22" s="11" t="s">
        <v>313</v>
      </c>
      <c r="B22" s="11" t="n">
        <f aca="false">MAX(B15:D17)</f>
        <v>3</v>
      </c>
    </row>
    <row r="25" customFormat="false" ht="15" hidden="false" customHeight="false" outlineLevel="0" collapsed="false">
      <c r="A25" s="10" t="s">
        <v>314</v>
      </c>
    </row>
    <row r="26" customFormat="false" ht="15" hidden="false" customHeight="false" outlineLevel="0" collapsed="false">
      <c r="B26" s="10" t="s">
        <v>315</v>
      </c>
      <c r="C26" s="10" t="s">
        <v>316</v>
      </c>
      <c r="D26" s="10" t="s">
        <v>317</v>
      </c>
      <c r="E26" s="10" t="s">
        <v>318</v>
      </c>
      <c r="F26" s="10" t="s">
        <v>319</v>
      </c>
      <c r="G26" s="10" t="s">
        <v>320</v>
      </c>
      <c r="J26" s="10" t="s">
        <v>321</v>
      </c>
      <c r="K26" s="10" t="s">
        <v>322</v>
      </c>
      <c r="L26" s="10" t="s">
        <v>323</v>
      </c>
    </row>
    <row r="27" customFormat="false" ht="15" hidden="false" customHeight="false" outlineLevel="0" collapsed="false">
      <c r="A27" s="10" t="s">
        <v>315</v>
      </c>
      <c r="B27" s="13" t="n">
        <f aca="false">$B$5*B10/$B$20</f>
        <v>0</v>
      </c>
      <c r="C27" s="13" t="n">
        <f aca="false">$B$5*C10/$B$20</f>
        <v>1</v>
      </c>
      <c r="D27" s="13" t="n">
        <f aca="false">$B$5*D10/$B$20</f>
        <v>0</v>
      </c>
      <c r="E27" s="13" t="n">
        <f aca="false">$B$7*B15/$B$22</f>
        <v>0.666666666666667</v>
      </c>
      <c r="F27" s="13" t="n">
        <f aca="false">$B$7*C15/$B$22</f>
        <v>0.333333333333333</v>
      </c>
      <c r="G27" s="13" t="n">
        <f aca="false">$B$7*D15/$B$22</f>
        <v>0</v>
      </c>
      <c r="J27" s="14" t="n">
        <f aca="false">SUM(B27:G27)</f>
        <v>2</v>
      </c>
      <c r="K27" s="14" t="n">
        <v>2</v>
      </c>
      <c r="L27" s="10" t="str">
        <f aca="false">IF(ABS(J27-K27)&lt;0.000000001,"PASS","FAIL")</f>
        <v>PASS</v>
      </c>
    </row>
    <row r="28" customFormat="false" ht="15" hidden="false" customHeight="false" outlineLevel="0" collapsed="false">
      <c r="A28" s="10" t="s">
        <v>316</v>
      </c>
      <c r="B28" s="13" t="n">
        <f aca="false">$B$5*B11/$B$20</f>
        <v>1</v>
      </c>
      <c r="C28" s="13" t="n">
        <f aca="false">$B$5*C11/$B$20</f>
        <v>0</v>
      </c>
      <c r="D28" s="13" t="n">
        <f aca="false">$B$5*D11/$B$20</f>
        <v>0.25</v>
      </c>
      <c r="E28" s="13" t="n">
        <f aca="false">$B$7*B16/$B$22</f>
        <v>0</v>
      </c>
      <c r="F28" s="13" t="n">
        <f aca="false">$B$7*C16/$B$22</f>
        <v>0.666666666666667</v>
      </c>
      <c r="G28" s="13" t="n">
        <f aca="false">$B$7*D16/$B$22</f>
        <v>0.333333333333333</v>
      </c>
      <c r="J28" s="14" t="n">
        <f aca="false">SUM(B28:G28)</f>
        <v>2.25</v>
      </c>
      <c r="K28" s="14" t="n">
        <v>2.25</v>
      </c>
      <c r="L28" s="10" t="str">
        <f aca="false">IF(ABS(J28-K28)&lt;0.000000001,"PASS","FAIL")</f>
        <v>PASS</v>
      </c>
    </row>
    <row r="29" customFormat="false" ht="15" hidden="false" customHeight="false" outlineLevel="0" collapsed="false">
      <c r="A29" s="10" t="s">
        <v>317</v>
      </c>
      <c r="B29" s="13" t="n">
        <f aca="false">$B$5*B12/$B$20</f>
        <v>0</v>
      </c>
      <c r="C29" s="13" t="n">
        <f aca="false">$B$5*C12/$B$20</f>
        <v>0.25</v>
      </c>
      <c r="D29" s="13" t="n">
        <f aca="false">$B$5*D12/$B$20</f>
        <v>0</v>
      </c>
      <c r="E29" s="13" t="n">
        <f aca="false">$B$7*B17/$B$22</f>
        <v>0</v>
      </c>
      <c r="F29" s="13" t="n">
        <f aca="false">$B$7*C17/$B$22</f>
        <v>0</v>
      </c>
      <c r="G29" s="13" t="n">
        <f aca="false">$B$7*D17/$B$22</f>
        <v>1</v>
      </c>
      <c r="J29" s="14" t="n">
        <f aca="false">SUM(B29:G29)</f>
        <v>1.25</v>
      </c>
      <c r="K29" s="14" t="n">
        <v>1.25</v>
      </c>
      <c r="L29" s="10" t="str">
        <f aca="false">IF(ABS(J29-K29)&lt;0.000000001,"PASS","FAIL")</f>
        <v>PASS</v>
      </c>
    </row>
    <row r="30" customFormat="false" ht="15" hidden="false" customHeight="false" outlineLevel="0" collapsed="false">
      <c r="A30" s="10" t="s">
        <v>318</v>
      </c>
      <c r="B30" s="13" t="n">
        <f aca="false">$B$7*B15/$B$22</f>
        <v>0.666666666666667</v>
      </c>
      <c r="C30" s="13" t="n">
        <f aca="false">$B$7*B16/$B$22</f>
        <v>0</v>
      </c>
      <c r="D30" s="13" t="n">
        <f aca="false">$B$7*B17/$B$22</f>
        <v>0</v>
      </c>
      <c r="E30" s="13" t="n">
        <f aca="false">$B$6*G10/$B$21</f>
        <v>0</v>
      </c>
      <c r="F30" s="13" t="n">
        <f aca="false">$B$6*H10/$B$21</f>
        <v>1</v>
      </c>
      <c r="G30" s="13" t="n">
        <f aca="false">$B$6*I10/$B$21</f>
        <v>0.333333333333333</v>
      </c>
      <c r="J30" s="14" t="n">
        <f aca="false">SUM(B30:G30)</f>
        <v>2</v>
      </c>
      <c r="K30" s="14" t="n">
        <v>2</v>
      </c>
      <c r="L30" s="10" t="str">
        <f aca="false">IF(ABS(J30-K30)&lt;0.000000001,"PASS","FAIL")</f>
        <v>PASS</v>
      </c>
    </row>
    <row r="31" customFormat="false" ht="15" hidden="false" customHeight="false" outlineLevel="0" collapsed="false">
      <c r="A31" s="10" t="s">
        <v>319</v>
      </c>
      <c r="B31" s="13" t="n">
        <f aca="false">$B$7*C15/$B$22</f>
        <v>0.333333333333333</v>
      </c>
      <c r="C31" s="13" t="n">
        <f aca="false">$B$7*C16/$B$22</f>
        <v>0.666666666666667</v>
      </c>
      <c r="D31" s="13" t="n">
        <f aca="false">$B$7*C17/$B$22</f>
        <v>0</v>
      </c>
      <c r="E31" s="13" t="n">
        <f aca="false">$B$6*G11/$B$21</f>
        <v>1</v>
      </c>
      <c r="F31" s="13" t="n">
        <f aca="false">$B$6*H11/$B$21</f>
        <v>0</v>
      </c>
      <c r="G31" s="13" t="n">
        <f aca="false">$B$6*I11/$B$21</f>
        <v>0.666666666666667</v>
      </c>
      <c r="J31" s="14" t="n">
        <f aca="false">SUM(B31:G31)</f>
        <v>2.66666666666667</v>
      </c>
      <c r="K31" s="14" t="n">
        <f aca="false">8/3</f>
        <v>2.66666666666667</v>
      </c>
      <c r="L31" s="10" t="str">
        <f aca="false">IF(ABS(J31-K31)&lt;0.000000001,"PASS","FAIL")</f>
        <v>PASS</v>
      </c>
    </row>
    <row r="32" customFormat="false" ht="15" hidden="false" customHeight="false" outlineLevel="0" collapsed="false">
      <c r="A32" s="10" t="s">
        <v>320</v>
      </c>
      <c r="B32" s="13" t="n">
        <f aca="false">$B$7*D15/$B$22</f>
        <v>0</v>
      </c>
      <c r="C32" s="13" t="n">
        <f aca="false">$B$7*D16/$B$22</f>
        <v>0.333333333333333</v>
      </c>
      <c r="D32" s="13" t="n">
        <f aca="false">$B$7*D17/$B$22</f>
        <v>1</v>
      </c>
      <c r="E32" s="13" t="n">
        <f aca="false">$B$6*G12/$B$21</f>
        <v>0.333333333333333</v>
      </c>
      <c r="F32" s="13" t="n">
        <f aca="false">$B$6*H12/$B$21</f>
        <v>0.666666666666667</v>
      </c>
      <c r="G32" s="13" t="n">
        <f aca="false">$B$6*I12/$B$21</f>
        <v>0</v>
      </c>
      <c r="J32" s="14" t="n">
        <f aca="false">SUM(B32:G32)</f>
        <v>2.33333333333333</v>
      </c>
      <c r="K32" s="14" t="n">
        <f aca="false">7/3</f>
        <v>2.33333333333333</v>
      </c>
      <c r="L32" s="10" t="str">
        <f aca="false">IF(ABS(J32-K32)&lt;0.000000001,"PASS","FAIL")</f>
        <v>PASS</v>
      </c>
    </row>
    <row r="35" customFormat="false" ht="15" hidden="false" customHeight="false" outlineLevel="0" collapsed="false">
      <c r="A35" s="10" t="s">
        <v>324</v>
      </c>
    </row>
    <row r="36" customFormat="false" ht="15" hidden="false" customHeight="false" outlineLevel="0" collapsed="false">
      <c r="A36" s="11" t="s">
        <v>325</v>
      </c>
      <c r="B36" s="11" t="n">
        <f aca="false">SUMPRODUCT(--(B27:G32&lt;&gt;TRANSPOSE(B27:G32)))</f>
        <v>0</v>
      </c>
      <c r="C36" s="10" t="str">
        <f aca="false">IF(B36=0,"PASS (symmetric)","FAIL")</f>
        <v>PASS (symmetric)</v>
      </c>
    </row>
    <row r="38" customFormat="false" ht="15" hidden="false" customHeight="false" outlineLevel="0" collapsed="false">
      <c r="A38" s="10" t="s">
        <v>326</v>
      </c>
    </row>
    <row r="39" customFormat="false" ht="15" hidden="false" customHeight="true" outlineLevel="0" collapsed="false">
      <c r="A39" s="15" t="s">
        <v>327</v>
      </c>
      <c r="B39" s="15" t="s">
        <v>328</v>
      </c>
      <c r="C39" s="15"/>
      <c r="D39" s="15"/>
      <c r="E39" s="15"/>
      <c r="F39" s="15"/>
      <c r="G39" s="15"/>
      <c r="H39" s="16"/>
    </row>
    <row r="40" customFormat="false" ht="15" hidden="false" customHeight="true" outlineLevel="0" collapsed="false">
      <c r="A40" s="5" t="s">
        <v>329</v>
      </c>
      <c r="B40" s="5" t="s">
        <v>330</v>
      </c>
      <c r="C40" s="5"/>
      <c r="D40" s="5"/>
      <c r="E40" s="5"/>
      <c r="F40" s="5"/>
      <c r="G40" s="5"/>
      <c r="H40" s="5" t="s">
        <v>229</v>
      </c>
    </row>
    <row r="41" customFormat="false" ht="23.85" hidden="false" customHeight="true" outlineLevel="0" collapsed="false">
      <c r="A41" s="5" t="s">
        <v>331</v>
      </c>
      <c r="B41" s="5" t="s">
        <v>332</v>
      </c>
      <c r="C41" s="5"/>
      <c r="D41" s="5"/>
      <c r="E41" s="5"/>
      <c r="F41" s="5"/>
      <c r="G41" s="5"/>
      <c r="H41" s="5" t="s">
        <v>248</v>
      </c>
    </row>
    <row r="42" customFormat="false" ht="23.85" hidden="false" customHeight="true" outlineLevel="0" collapsed="false">
      <c r="A42" s="5" t="s">
        <v>333</v>
      </c>
      <c r="B42" s="5" t="s">
        <v>334</v>
      </c>
      <c r="C42" s="5"/>
      <c r="D42" s="5"/>
      <c r="E42" s="5"/>
      <c r="F42" s="5"/>
      <c r="G42" s="5"/>
      <c r="H42" s="5" t="s">
        <v>248</v>
      </c>
    </row>
    <row r="43" customFormat="false" ht="23.85" hidden="false" customHeight="true" outlineLevel="0" collapsed="false">
      <c r="A43" s="5" t="s">
        <v>335</v>
      </c>
      <c r="B43" s="5" t="s">
        <v>336</v>
      </c>
      <c r="C43" s="5"/>
      <c r="D43" s="5"/>
      <c r="E43" s="5"/>
      <c r="F43" s="5"/>
      <c r="G43" s="5"/>
      <c r="H43" s="5" t="s">
        <v>252</v>
      </c>
    </row>
    <row r="44" customFormat="false" ht="23.85" hidden="false" customHeight="true" outlineLevel="0" collapsed="false">
      <c r="A44" s="5" t="s">
        <v>337</v>
      </c>
      <c r="B44" s="5" t="s">
        <v>338</v>
      </c>
      <c r="C44" s="5"/>
      <c r="D44" s="5"/>
      <c r="E44" s="5"/>
      <c r="F44" s="5"/>
      <c r="G44" s="5"/>
      <c r="H44" s="5" t="s">
        <v>243</v>
      </c>
    </row>
  </sheetData>
  <mergeCells count="6">
    <mergeCell ref="B39:G39"/>
    <mergeCell ref="B40:G40"/>
    <mergeCell ref="B41:G41"/>
    <mergeCell ref="B42:G42"/>
    <mergeCell ref="B43:G43"/>
    <mergeCell ref="B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2"/>
    <col collapsed="false" customWidth="true" hidden="false" outlineLevel="0" max="3" min="3" style="0" width="3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339</v>
      </c>
    </row>
    <row r="2" customFormat="false" ht="15" hidden="false" customHeight="false" outlineLevel="0" collapsed="false">
      <c r="A2" s="2" t="s">
        <v>340</v>
      </c>
    </row>
    <row r="3" customFormat="false" ht="15" hidden="false" customHeight="false" outlineLevel="0" collapsed="false">
      <c r="A3" s="3" t="s">
        <v>2</v>
      </c>
      <c r="B3" s="3" t="s">
        <v>341</v>
      </c>
      <c r="C3" s="3" t="s">
        <v>342</v>
      </c>
      <c r="D3" s="3" t="s">
        <v>343</v>
      </c>
    </row>
    <row r="4" customFormat="false" ht="23.85" hidden="false" customHeight="false" outlineLevel="0" collapsed="false">
      <c r="A4" s="4" t="s">
        <v>344</v>
      </c>
      <c r="B4" s="5" t="s">
        <v>345</v>
      </c>
      <c r="C4" s="5" t="s">
        <v>346</v>
      </c>
      <c r="D4" s="4" t="s">
        <v>347</v>
      </c>
    </row>
    <row r="5" customFormat="false" ht="23.85" hidden="false" customHeight="false" outlineLevel="0" collapsed="false">
      <c r="A5" s="4" t="s">
        <v>348</v>
      </c>
      <c r="B5" s="5" t="s">
        <v>349</v>
      </c>
      <c r="C5" s="5" t="s">
        <v>350</v>
      </c>
      <c r="D5" s="4" t="s">
        <v>347</v>
      </c>
    </row>
    <row r="6" customFormat="false" ht="23.85" hidden="false" customHeight="false" outlineLevel="0" collapsed="false">
      <c r="A6" s="4" t="s">
        <v>351</v>
      </c>
      <c r="B6" s="5" t="s">
        <v>352</v>
      </c>
      <c r="C6" s="5" t="s">
        <v>353</v>
      </c>
      <c r="D6" s="4" t="s">
        <v>347</v>
      </c>
    </row>
    <row r="7" customFormat="false" ht="23.85" hidden="false" customHeight="false" outlineLevel="0" collapsed="false">
      <c r="A7" s="4" t="s">
        <v>354</v>
      </c>
      <c r="B7" s="5" t="s">
        <v>355</v>
      </c>
      <c r="C7" s="5" t="s">
        <v>356</v>
      </c>
      <c r="D7" s="4" t="s">
        <v>347</v>
      </c>
    </row>
    <row r="8" customFormat="false" ht="23.85" hidden="false" customHeight="false" outlineLevel="0" collapsed="false">
      <c r="A8" s="4" t="s">
        <v>357</v>
      </c>
      <c r="B8" s="5" t="s">
        <v>358</v>
      </c>
      <c r="C8" s="5" t="s">
        <v>359</v>
      </c>
      <c r="D8" s="4" t="s">
        <v>347</v>
      </c>
    </row>
    <row r="9" customFormat="false" ht="23.85" hidden="false" customHeight="false" outlineLevel="0" collapsed="false">
      <c r="A9" s="4" t="s">
        <v>360</v>
      </c>
      <c r="B9" s="5" t="s">
        <v>361</v>
      </c>
      <c r="C9" s="5" t="s">
        <v>362</v>
      </c>
      <c r="D9" s="4" t="s">
        <v>347</v>
      </c>
    </row>
    <row r="10" customFormat="false" ht="23.85" hidden="false" customHeight="false" outlineLevel="0" collapsed="false">
      <c r="A10" s="4" t="s">
        <v>363</v>
      </c>
      <c r="B10" s="5" t="s">
        <v>364</v>
      </c>
      <c r="C10" s="5" t="s">
        <v>365</v>
      </c>
      <c r="D10" s="4" t="s">
        <v>347</v>
      </c>
    </row>
    <row r="11" customFormat="false" ht="23.85" hidden="false" customHeight="false" outlineLevel="0" collapsed="false">
      <c r="A11" s="4" t="s">
        <v>366</v>
      </c>
      <c r="B11" s="5" t="s">
        <v>367</v>
      </c>
      <c r="C11" s="5" t="s">
        <v>368</v>
      </c>
      <c r="D11" s="4" t="s">
        <v>347</v>
      </c>
    </row>
    <row r="12" customFormat="false" ht="23.85" hidden="false" customHeight="false" outlineLevel="0" collapsed="false">
      <c r="A12" s="4" t="s">
        <v>369</v>
      </c>
      <c r="B12" s="5" t="s">
        <v>370</v>
      </c>
      <c r="C12" s="5" t="s">
        <v>371</v>
      </c>
      <c r="D12" s="4" t="s">
        <v>347</v>
      </c>
    </row>
    <row r="13" customFormat="false" ht="23.85" hidden="false" customHeight="false" outlineLevel="0" collapsed="false">
      <c r="A13" s="4" t="s">
        <v>372</v>
      </c>
      <c r="B13" s="5" t="s">
        <v>373</v>
      </c>
      <c r="C13" s="5" t="s">
        <v>374</v>
      </c>
      <c r="D13" s="4" t="s">
        <v>347</v>
      </c>
    </row>
    <row r="14" customFormat="false" ht="23.85" hidden="false" customHeight="false" outlineLevel="0" collapsed="false">
      <c r="A14" s="4" t="s">
        <v>375</v>
      </c>
      <c r="B14" s="5" t="s">
        <v>376</v>
      </c>
      <c r="C14" s="5" t="s">
        <v>377</v>
      </c>
      <c r="D14" s="4" t="s">
        <v>347</v>
      </c>
    </row>
    <row r="15" customFormat="false" ht="23.85" hidden="false" customHeight="false" outlineLevel="0" collapsed="false">
      <c r="A15" s="4" t="s">
        <v>378</v>
      </c>
      <c r="B15" s="5" t="s">
        <v>379</v>
      </c>
      <c r="C15" s="5" t="s">
        <v>380</v>
      </c>
      <c r="D15" s="4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2026-07-07T04:20:08Z</dcterms:created>
  <dc:creator>openpyxl</dc:creator>
  <dc:description/>
  <dc:language>en-US</dc:language>
  <cp:lastModifiedBy/>
  <dcterms:modified xsi:type="dcterms:W3CDTF">2026-07-07T04:20:08Z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